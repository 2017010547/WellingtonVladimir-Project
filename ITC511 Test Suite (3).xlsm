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126" codeName="{22E68647-3C60-695B-3CA0-4895CD717B8A}"/>
  <workbookPr filterPrivacy="1" codeName="ThisWorkbook" defaultThemeVersion="124226"/>
  <xr:revisionPtr revIDLastSave="0" documentId="13_ncr:1_{C2DB2E52-8DE6-42F5-9795-F4580A13F6F4}" xr6:coauthVersionLast="40" xr6:coauthVersionMax="40" xr10:uidLastSave="{00000000-0000-0000-0000-000000000000}"/>
  <bookViews>
    <workbookView xWindow="0" yWindow="0" windowWidth="23040" windowHeight="8988" tabRatio="558" activeTab="10" xr2:uid="{00000000-000D-0000-FFFF-FFFF00000000}"/>
  </bookViews>
  <sheets>
    <sheet name="List of Tests" sheetId="96" r:id="rId1"/>
    <sheet name="TC01" sheetId="2" r:id="rId2"/>
    <sheet name="TC02" sheetId="78" r:id="rId3"/>
    <sheet name="TC03" sheetId="79" r:id="rId4"/>
    <sheet name="TC04" sheetId="86" r:id="rId5"/>
    <sheet name="TC05" sheetId="91" r:id="rId6"/>
    <sheet name="TC06" sheetId="101" r:id="rId7"/>
    <sheet name="TC07" sheetId="102" r:id="rId8"/>
    <sheet name="TC08" sheetId="103" r:id="rId9"/>
    <sheet name="Sheet1" sheetId="100" r:id="rId10"/>
    <sheet name="TC08 (2)" sheetId="104" r:id="rId11"/>
    <sheet name="Defects" sheetId="99" r:id="rId12"/>
  </sheets>
  <externalReferences>
    <externalReference r:id="rId13"/>
  </externalReferences>
  <definedNames>
    <definedName name="__B65999" localSheetId="6">#REF!</definedName>
    <definedName name="__B65999" localSheetId="7">#REF!</definedName>
    <definedName name="__B65999" localSheetId="8">#REF!</definedName>
    <definedName name="__B65999" localSheetId="10">#REF!</definedName>
    <definedName name="__B65999">#REF!</definedName>
    <definedName name="__B66124" localSheetId="6">#REF!</definedName>
    <definedName name="__B66124" localSheetId="7">#REF!</definedName>
    <definedName name="__B66124" localSheetId="8">#REF!</definedName>
    <definedName name="__B66124" localSheetId="10">#REF!</definedName>
    <definedName name="__B66124">#REF!</definedName>
    <definedName name="_B65999" localSheetId="6">#REF!</definedName>
    <definedName name="_B65999" localSheetId="7">#REF!</definedName>
    <definedName name="_B65999" localSheetId="8">#REF!</definedName>
    <definedName name="_B65999" localSheetId="10">#REF!</definedName>
    <definedName name="_B65999">#REF!</definedName>
    <definedName name="_B66124" localSheetId="6">#REF!</definedName>
    <definedName name="_B66124" localSheetId="7">#REF!</definedName>
    <definedName name="_B66124" localSheetId="8">#REF!</definedName>
    <definedName name="_B66124" localSheetId="10">#REF!</definedName>
    <definedName name="_B66124">#REF!</definedName>
    <definedName name="_Toc98342305" localSheetId="0">'List of Tests'!#REF!</definedName>
    <definedName name="Ch_Space">[1]Definitions!$Q$2</definedName>
    <definedName name="ChangeByTechnology">[1]Definitions!$A$2</definedName>
    <definedName name="DataRelated">[1]Definitions!$A$4</definedName>
    <definedName name="DiscussionItem">[1]Definitions!$A$3</definedName>
    <definedName name="Env_PAT">[1]Definitions!$S$3</definedName>
    <definedName name="Env_UAT">[1]Definitions!$S$2</definedName>
    <definedName name="Fn_Corridor">[1]Definitions!$D$6</definedName>
    <definedName name="Fn_EG">[1]Definitions!$D$3</definedName>
    <definedName name="Fn_Inquiry">[1]Definitions!$D$2</definedName>
    <definedName name="Fn_Reports">[1]Definitions!$D$4</definedName>
    <definedName name="Fn_SCL">[1]Definitions!$D$5</definedName>
    <definedName name="NewRequest">[1]Definitions!$A$6</definedName>
    <definedName name="Owner_AWong">[1]Definitions!$L$4</definedName>
    <definedName name="Owner_Jacob">[1]Definitions!$L$5</definedName>
    <definedName name="Owner_Peter">[1]Definitions!$L$2</definedName>
    <definedName name="Owner_Sandeep">[1]Definitions!$L$3</definedName>
    <definedName name="Priority_High">[1]Definitions!$H$3</definedName>
    <definedName name="Priority_Low">[1]Definitions!$H$5</definedName>
    <definedName name="Priority_Medium">[1]Definitions!$H$4</definedName>
    <definedName name="Priority_ShowStopper">[1]Definitions!$H$2</definedName>
    <definedName name="Priority_Undefined">[1]Definitions!$H$6</definedName>
    <definedName name="PTable_Start_AllTotals1">'[1]Clear View Tables'!$A$1</definedName>
    <definedName name="Range_AllIncidents">'[1]CSP UAT Incidents'!$A$1:$P$448</definedName>
    <definedName name="Range_Copy_AllIncidents">'[1]CSP UAT Incidents'!$A$1:$P$396</definedName>
    <definedName name="Range_Criteria_OpenBugs">'[1]Open CTs and DRs'!$A$16:$O$22</definedName>
    <definedName name="Range_IncidentProfileOverAll" localSheetId="6">#REF!</definedName>
    <definedName name="Range_IncidentProfileOverAll" localSheetId="7">#REF!</definedName>
    <definedName name="Range_IncidentProfileOverAll" localSheetId="8">#REF!</definedName>
    <definedName name="Range_IncidentProfileOverAll" localSheetId="10">#REF!</definedName>
    <definedName name="Range_IncidentProfileOverAll">#REF!</definedName>
    <definedName name="Release_1_0">[1]Definitions!$N$3</definedName>
    <definedName name="Release_1_1">[1]Definitions!$N$4</definedName>
    <definedName name="Release_1_2">[1]Definitions!$N$5</definedName>
    <definedName name="Release_1_3">[1]Definitions!$N$6</definedName>
    <definedName name="Release_1_4">[1]Definitions!$N$7</definedName>
    <definedName name="Release_1_5">[1]Definitions!$N$8</definedName>
    <definedName name="Release_Phase1">[1]Definitions!$N$2</definedName>
    <definedName name="Release_Phase2">[1]Definitions!$N$9</definedName>
    <definedName name="Severity_High">[1]Definitions!$J$3</definedName>
    <definedName name="Severity_Low">[1]Definitions!$J$5</definedName>
    <definedName name="Severity_Medium">[1]Definitions!$J$4</definedName>
    <definedName name="Severity_ShowStopper">[1]Definitions!$J$2</definedName>
    <definedName name="Severity_Undefined">[1]Definitions!$J$6</definedName>
    <definedName name="Status_Authorised">[1]Definitions!$F$3</definedName>
    <definedName name="Status_Closed">[1]Definitions!$F$5</definedName>
    <definedName name="Status_Duplicate">[1]Definitions!$F$6</definedName>
    <definedName name="Status_Fixed">[1]Definitions!$F$4</definedName>
    <definedName name="Status_Raised">[1]Definitions!$F$2</definedName>
    <definedName name="Status_ReRaised">[1]Definitions!$F$7</definedName>
    <definedName name="Type_TestCase">[1]Definitions!$A$5</definedName>
    <definedName name="TypeAndOwner">[1]Definitions!$A$1:$C$8</definedName>
    <definedName name="UserMaintenance">[1]Definitions!$A$7</definedName>
    <definedName name="UserTraining">[1]Definitions!$A$8</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2" i="104" l="1"/>
  <c r="B1" i="104"/>
  <c r="F2" i="103"/>
  <c r="B1" i="103"/>
  <c r="F2" i="102"/>
  <c r="B1" i="102"/>
  <c r="F2" i="101"/>
  <c r="B1" i="101"/>
  <c r="F2" i="100"/>
  <c r="B1" i="100"/>
  <c r="F2" i="2"/>
  <c r="A17" i="2"/>
  <c r="A16" i="2"/>
  <c r="B3" i="104"/>
  <c r="B2" i="104"/>
  <c r="B2" i="103"/>
  <c r="B3" i="103"/>
  <c r="B3" i="102"/>
  <c r="B2" i="102"/>
  <c r="B2" i="101"/>
  <c r="B3" i="101"/>
  <c r="B3" i="100"/>
  <c r="B2" i="100"/>
  <c r="A6" i="2" l="1"/>
  <c r="A7" i="2"/>
  <c r="A8" i="2"/>
  <c r="A9" i="2"/>
  <c r="B1" i="2"/>
  <c r="A24" i="79" l="1"/>
  <c r="A25" i="79"/>
  <c r="A26" i="79"/>
  <c r="A27" i="79"/>
  <c r="A28" i="79"/>
  <c r="A29" i="79"/>
  <c r="A30" i="79"/>
  <c r="A31" i="79"/>
  <c r="A32" i="79"/>
  <c r="A33" i="79"/>
  <c r="B1" i="91"/>
  <c r="B1" i="79"/>
  <c r="B1" i="86"/>
  <c r="B1" i="78"/>
  <c r="F2" i="91" l="1"/>
  <c r="F2" i="86"/>
  <c r="F2" i="79"/>
  <c r="A6" i="79"/>
  <c r="A7" i="79"/>
  <c r="A8" i="79"/>
  <c r="A9" i="79"/>
  <c r="A10" i="79"/>
  <c r="A11" i="79"/>
  <c r="A12" i="79"/>
  <c r="A13" i="79"/>
  <c r="A14" i="79"/>
  <c r="A15" i="79"/>
  <c r="A16" i="79"/>
  <c r="A17" i="79"/>
  <c r="A18" i="79"/>
  <c r="A19" i="79"/>
  <c r="A20" i="79"/>
  <c r="A21" i="79"/>
  <c r="A22" i="79"/>
  <c r="A23" i="79"/>
  <c r="F2" i="78"/>
  <c r="A6" i="78"/>
  <c r="A7" i="78"/>
  <c r="A8" i="78"/>
  <c r="A9" i="78"/>
  <c r="A10" i="78"/>
  <c r="A11" i="78"/>
  <c r="A12" i="78"/>
  <c r="A13" i="78"/>
  <c r="A14" i="78"/>
  <c r="A15" i="78"/>
  <c r="A16" i="78"/>
  <c r="A17" i="78"/>
  <c r="A18" i="78"/>
  <c r="A19" i="78"/>
  <c r="A20" i="78"/>
  <c r="A21" i="78"/>
  <c r="A22" i="78"/>
  <c r="A23" i="78"/>
  <c r="A24" i="78"/>
  <c r="A25" i="78"/>
  <c r="A10" i="2"/>
  <c r="A11" i="2"/>
  <c r="A12" i="2"/>
  <c r="A13" i="2"/>
  <c r="A14" i="2"/>
  <c r="A15" i="2"/>
  <c r="B2" i="79"/>
  <c r="B3" i="91"/>
  <c r="B2" i="91"/>
  <c r="B2" i="86"/>
  <c r="B2" i="78"/>
  <c r="B2" i="2"/>
  <c r="B3" i="78"/>
  <c r="B3" i="86"/>
  <c r="B3" i="79"/>
  <c r="B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 authorId="0" shapeId="0" xr:uid="{00000000-0006-0000-0000-000001000000}">
      <text>
        <r>
          <rPr>
            <sz val="8"/>
            <color indexed="81"/>
            <rFont val="Tahoma"/>
            <family val="2"/>
          </rPr>
          <t>Enter the Test Phase:
- Infrastructure
- Application
- Procedure
- Other</t>
        </r>
      </text>
    </comment>
    <comment ref="B3" authorId="0" shapeId="0" xr:uid="{00000000-0006-0000-0000-000002000000}">
      <text>
        <r>
          <rPr>
            <sz val="8"/>
            <color indexed="81"/>
            <rFont val="Tahoma"/>
            <family val="2"/>
          </rPr>
          <t xml:space="preserve">Include the name of the test case
</t>
        </r>
      </text>
    </comment>
    <comment ref="D3" authorId="0" shapeId="0" xr:uid="{00000000-0006-0000-0000-000003000000}">
      <text>
        <r>
          <rPr>
            <sz val="8"/>
            <color indexed="81"/>
            <rFont val="Tahoma"/>
            <family val="2"/>
          </rPr>
          <t xml:space="preserve">This is the link to the sheet within the spreadsheet for each Test Case
</t>
        </r>
      </text>
    </comment>
    <comment ref="E3" authorId="0" shapeId="0" xr:uid="{00000000-0006-0000-0000-000004000000}">
      <text>
        <r>
          <rPr>
            <sz val="8"/>
            <color indexed="81"/>
            <rFont val="Tahoma"/>
            <family val="2"/>
          </rPr>
          <t xml:space="preserve">Enter the name/s of the resources running each Test Case
</t>
        </r>
      </text>
    </comment>
    <comment ref="F3" authorId="0" shapeId="0" xr:uid="{00000000-0006-0000-0000-000005000000}">
      <text>
        <r>
          <rPr>
            <sz val="8"/>
            <color indexed="81"/>
            <rFont val="Tahoma"/>
            <family val="2"/>
          </rPr>
          <t xml:space="preserve">Enter the status of each Test Case;
- Pass
- Fail
- other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 authorId="0" shapeId="0" xr:uid="{00000000-0006-0000-0100-000001000000}">
      <text>
        <r>
          <rPr>
            <b/>
            <sz val="8"/>
            <color indexed="81"/>
            <rFont val="Tahoma"/>
            <family val="2"/>
          </rPr>
          <t>- Step Number</t>
        </r>
      </text>
    </comment>
    <comment ref="B5" authorId="0" shapeId="0" xr:uid="{00000000-0006-0000-0100-000002000000}">
      <text>
        <r>
          <rPr>
            <b/>
            <sz val="8"/>
            <color indexed="81"/>
            <rFont val="Tahoma"/>
            <family val="2"/>
          </rPr>
          <t>Enter a brief description of the test</t>
        </r>
        <r>
          <rPr>
            <sz val="8"/>
            <color indexed="81"/>
            <rFont val="Tahoma"/>
            <family val="2"/>
          </rPr>
          <t xml:space="preserve">
</t>
        </r>
      </text>
    </comment>
    <comment ref="C5" authorId="0" shapeId="0" xr:uid="{00000000-0006-0000-0100-000003000000}">
      <text>
        <r>
          <rPr>
            <b/>
            <sz val="8"/>
            <color indexed="81"/>
            <rFont val="Tahoma"/>
            <family val="2"/>
          </rPr>
          <t>Either
- Test Prerequisite    or 
- Test Precondition   or
- Other note</t>
        </r>
        <r>
          <rPr>
            <sz val="8"/>
            <color indexed="81"/>
            <rFont val="Tahoma"/>
            <family val="2"/>
          </rPr>
          <t xml:space="preserve">
</t>
        </r>
      </text>
    </comment>
    <comment ref="D5" authorId="0" shapeId="0" xr:uid="{00000000-0006-0000-0100-000004000000}">
      <text>
        <r>
          <rPr>
            <b/>
            <sz val="8"/>
            <color indexed="81"/>
            <rFont val="Tahoma"/>
            <family val="2"/>
          </rPr>
          <t>Enter a brief description of the expected result</t>
        </r>
        <r>
          <rPr>
            <sz val="8"/>
            <color indexed="81"/>
            <rFont val="Tahoma"/>
            <family val="2"/>
          </rPr>
          <t xml:space="preserve">
</t>
        </r>
      </text>
    </comment>
    <comment ref="E5" authorId="0" shapeId="0" xr:uid="{00000000-0006-0000-0100-000005000000}">
      <text>
        <r>
          <rPr>
            <b/>
            <sz val="8"/>
            <color indexed="81"/>
            <rFont val="Tahoma"/>
            <family val="2"/>
          </rPr>
          <t xml:space="preserve">Either
- Done  (for step)     or
- Pass                          or
- Fail
If Fail, then complete Test 
Incident Report
</t>
        </r>
      </text>
    </comment>
    <comment ref="F5" authorId="0" shapeId="0" xr:uid="{00000000-0006-0000-0100-000006000000}">
      <text>
        <r>
          <rPr>
            <b/>
            <sz val="8"/>
            <color indexed="81"/>
            <rFont val="Tahoma"/>
            <family val="2"/>
          </rPr>
          <t>Enter details of actual results</t>
        </r>
        <r>
          <rPr>
            <sz val="8"/>
            <color indexed="81"/>
            <rFont val="Tahoma"/>
            <family val="2"/>
          </rPr>
          <t xml:space="preserve">
</t>
        </r>
      </text>
    </comment>
    <comment ref="G5" authorId="0" shapeId="0" xr:uid="{00000000-0006-0000-0100-000007000000}">
      <text>
        <r>
          <rPr>
            <b/>
            <sz val="8"/>
            <color indexed="81"/>
            <rFont val="Tahoma"/>
            <family val="2"/>
          </rPr>
          <t>Enter the date this test was run and how long the test took to run</t>
        </r>
      </text>
    </comment>
    <comment ref="H5" authorId="0" shapeId="0" xr:uid="{00000000-0006-0000-0100-000008000000}">
      <text>
        <r>
          <rPr>
            <b/>
            <sz val="8"/>
            <color indexed="81"/>
            <rFont val="Tahoma"/>
            <family val="2"/>
          </rPr>
          <t>The name of the tester</t>
        </r>
        <r>
          <rPr>
            <sz val="8"/>
            <color indexed="81"/>
            <rFont val="Tahoma"/>
            <family val="2"/>
          </rPr>
          <t xml:space="preserve">
</t>
        </r>
      </text>
    </comment>
    <comment ref="I5" authorId="0" shapeId="0" xr:uid="{00000000-0006-0000-0100-000009000000}">
      <text>
        <r>
          <rPr>
            <b/>
            <sz val="8"/>
            <color indexed="81"/>
            <rFont val="Tahoma"/>
            <family val="2"/>
          </rPr>
          <t>If a test fails, use the Test Incident Report Form.
Send it to the Test Manager.</t>
        </r>
        <r>
          <rPr>
            <sz val="8"/>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 authorId="0" shapeId="0" xr:uid="{00000000-0006-0000-0200-000001000000}">
      <text>
        <r>
          <rPr>
            <b/>
            <sz val="8"/>
            <color indexed="81"/>
            <rFont val="Tahoma"/>
            <family val="2"/>
          </rPr>
          <t>- Step Number</t>
        </r>
      </text>
    </comment>
    <comment ref="B5" authorId="0" shapeId="0" xr:uid="{00000000-0006-0000-0200-000002000000}">
      <text>
        <r>
          <rPr>
            <b/>
            <sz val="8"/>
            <color indexed="81"/>
            <rFont val="Tahoma"/>
            <family val="2"/>
          </rPr>
          <t>Enter a brief description of the test</t>
        </r>
        <r>
          <rPr>
            <sz val="8"/>
            <color indexed="81"/>
            <rFont val="Tahoma"/>
            <family val="2"/>
          </rPr>
          <t xml:space="preserve">
</t>
        </r>
      </text>
    </comment>
    <comment ref="C5" authorId="0" shapeId="0" xr:uid="{00000000-0006-0000-0200-000003000000}">
      <text>
        <r>
          <rPr>
            <b/>
            <sz val="8"/>
            <color indexed="81"/>
            <rFont val="Tahoma"/>
            <family val="2"/>
          </rPr>
          <t>Either
- Test Prerequisite    or 
- Test Precondition   or
- Other note</t>
        </r>
        <r>
          <rPr>
            <sz val="8"/>
            <color indexed="81"/>
            <rFont val="Tahoma"/>
            <family val="2"/>
          </rPr>
          <t xml:space="preserve">
</t>
        </r>
      </text>
    </comment>
    <comment ref="D5" authorId="0" shapeId="0" xr:uid="{00000000-0006-0000-0200-000004000000}">
      <text>
        <r>
          <rPr>
            <b/>
            <sz val="8"/>
            <color indexed="81"/>
            <rFont val="Tahoma"/>
            <family val="2"/>
          </rPr>
          <t>Enter a brief description of the expected result</t>
        </r>
        <r>
          <rPr>
            <sz val="8"/>
            <color indexed="81"/>
            <rFont val="Tahoma"/>
            <family val="2"/>
          </rPr>
          <t xml:space="preserve">
</t>
        </r>
      </text>
    </comment>
    <comment ref="E5" authorId="0" shapeId="0" xr:uid="{00000000-0006-0000-0200-000005000000}">
      <text>
        <r>
          <rPr>
            <b/>
            <sz val="8"/>
            <color indexed="81"/>
            <rFont val="Tahoma"/>
            <family val="2"/>
          </rPr>
          <t xml:space="preserve">Either
- Done  (for step)     or
- Pass                          or
- Fail
If Fail, then complete Test 
Incident Report
</t>
        </r>
      </text>
    </comment>
    <comment ref="F5" authorId="0" shapeId="0" xr:uid="{00000000-0006-0000-0200-000006000000}">
      <text>
        <r>
          <rPr>
            <b/>
            <sz val="8"/>
            <color indexed="81"/>
            <rFont val="Tahoma"/>
            <family val="2"/>
          </rPr>
          <t>Enter details of actual results</t>
        </r>
        <r>
          <rPr>
            <sz val="8"/>
            <color indexed="81"/>
            <rFont val="Tahoma"/>
            <family val="2"/>
          </rPr>
          <t xml:space="preserve">
</t>
        </r>
      </text>
    </comment>
    <comment ref="G5" authorId="0" shapeId="0" xr:uid="{00000000-0006-0000-0200-000007000000}">
      <text>
        <r>
          <rPr>
            <b/>
            <sz val="8"/>
            <color indexed="81"/>
            <rFont val="Tahoma"/>
            <family val="2"/>
          </rPr>
          <t>Enter the date this test was run and how long the test took to run</t>
        </r>
      </text>
    </comment>
    <comment ref="H5" authorId="0" shapeId="0" xr:uid="{00000000-0006-0000-0200-000008000000}">
      <text>
        <r>
          <rPr>
            <b/>
            <sz val="8"/>
            <color indexed="81"/>
            <rFont val="Tahoma"/>
            <family val="2"/>
          </rPr>
          <t>The name of the tester</t>
        </r>
        <r>
          <rPr>
            <sz val="8"/>
            <color indexed="81"/>
            <rFont val="Tahoma"/>
            <family val="2"/>
          </rPr>
          <t xml:space="preserve">
</t>
        </r>
      </text>
    </comment>
    <comment ref="I5" authorId="0" shapeId="0" xr:uid="{00000000-0006-0000-0200-000009000000}">
      <text>
        <r>
          <rPr>
            <b/>
            <sz val="8"/>
            <color indexed="81"/>
            <rFont val="Tahoma"/>
            <family val="2"/>
          </rPr>
          <t>If a test fails, use the Test Incident Report Form.
Send it to the Test Manager.</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 authorId="0" shapeId="0" xr:uid="{00000000-0006-0000-0300-000001000000}">
      <text>
        <r>
          <rPr>
            <b/>
            <sz val="8"/>
            <color indexed="81"/>
            <rFont val="Tahoma"/>
            <family val="2"/>
          </rPr>
          <t>- Step Number</t>
        </r>
      </text>
    </comment>
    <comment ref="B5" authorId="0" shapeId="0" xr:uid="{00000000-0006-0000-0300-000002000000}">
      <text>
        <r>
          <rPr>
            <b/>
            <sz val="8"/>
            <color indexed="81"/>
            <rFont val="Tahoma"/>
            <family val="2"/>
          </rPr>
          <t>Enter a brief description of the test</t>
        </r>
        <r>
          <rPr>
            <sz val="8"/>
            <color indexed="81"/>
            <rFont val="Tahoma"/>
            <family val="2"/>
          </rPr>
          <t xml:space="preserve">
</t>
        </r>
      </text>
    </comment>
    <comment ref="C5" authorId="0" shapeId="0" xr:uid="{00000000-0006-0000-0300-000003000000}">
      <text>
        <r>
          <rPr>
            <b/>
            <sz val="8"/>
            <color indexed="81"/>
            <rFont val="Tahoma"/>
            <family val="2"/>
          </rPr>
          <t>Either
- Test Prerequisite    or 
- Test Precondition   or
- Other note</t>
        </r>
        <r>
          <rPr>
            <sz val="8"/>
            <color indexed="81"/>
            <rFont val="Tahoma"/>
            <family val="2"/>
          </rPr>
          <t xml:space="preserve">
</t>
        </r>
      </text>
    </comment>
    <comment ref="D5" authorId="0" shapeId="0" xr:uid="{00000000-0006-0000-0300-000004000000}">
      <text>
        <r>
          <rPr>
            <b/>
            <sz val="8"/>
            <color indexed="81"/>
            <rFont val="Tahoma"/>
            <family val="2"/>
          </rPr>
          <t>Enter a brief description of the expected result</t>
        </r>
        <r>
          <rPr>
            <sz val="8"/>
            <color indexed="81"/>
            <rFont val="Tahoma"/>
            <family val="2"/>
          </rPr>
          <t xml:space="preserve">
</t>
        </r>
      </text>
    </comment>
    <comment ref="E5" authorId="0" shapeId="0" xr:uid="{00000000-0006-0000-0300-000005000000}">
      <text>
        <r>
          <rPr>
            <b/>
            <sz val="8"/>
            <color indexed="81"/>
            <rFont val="Tahoma"/>
            <family val="2"/>
          </rPr>
          <t xml:space="preserve">Either
- Done  (for step)     or
- Pass                          or
- Fail
If Fail, then complete Test 
Incident Report
</t>
        </r>
      </text>
    </comment>
    <comment ref="F5" authorId="0" shapeId="0" xr:uid="{00000000-0006-0000-0300-000006000000}">
      <text>
        <r>
          <rPr>
            <b/>
            <sz val="8"/>
            <color indexed="81"/>
            <rFont val="Tahoma"/>
            <family val="2"/>
          </rPr>
          <t>Enter details of actual results</t>
        </r>
        <r>
          <rPr>
            <sz val="8"/>
            <color indexed="81"/>
            <rFont val="Tahoma"/>
            <family val="2"/>
          </rPr>
          <t xml:space="preserve">
</t>
        </r>
      </text>
    </comment>
    <comment ref="G5" authorId="0" shapeId="0" xr:uid="{00000000-0006-0000-0300-000007000000}">
      <text>
        <r>
          <rPr>
            <b/>
            <sz val="8"/>
            <color indexed="81"/>
            <rFont val="Tahoma"/>
            <family val="2"/>
          </rPr>
          <t>Enter the date this test was run and how long the test took to run</t>
        </r>
      </text>
    </comment>
    <comment ref="H5" authorId="0" shapeId="0" xr:uid="{00000000-0006-0000-0300-000008000000}">
      <text>
        <r>
          <rPr>
            <b/>
            <sz val="8"/>
            <color indexed="81"/>
            <rFont val="Tahoma"/>
            <family val="2"/>
          </rPr>
          <t>The name of the tester</t>
        </r>
        <r>
          <rPr>
            <sz val="8"/>
            <color indexed="81"/>
            <rFont val="Tahoma"/>
            <family val="2"/>
          </rPr>
          <t xml:space="preserve">
</t>
        </r>
      </text>
    </comment>
    <comment ref="I5" authorId="0" shapeId="0" xr:uid="{00000000-0006-0000-0300-000009000000}">
      <text>
        <r>
          <rPr>
            <b/>
            <sz val="8"/>
            <color indexed="81"/>
            <rFont val="Tahoma"/>
            <family val="2"/>
          </rPr>
          <t>If a test fails, use the Test Incident Report Form.
Send it to the Test Manager.</t>
        </r>
        <r>
          <rPr>
            <sz val="8"/>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 authorId="0" shapeId="0" xr:uid="{00000000-0006-0000-0400-000001000000}">
      <text>
        <r>
          <rPr>
            <b/>
            <sz val="8"/>
            <color indexed="81"/>
            <rFont val="Tahoma"/>
            <family val="2"/>
          </rPr>
          <t>- Step Number</t>
        </r>
      </text>
    </comment>
    <comment ref="B5" authorId="0" shapeId="0" xr:uid="{00000000-0006-0000-0400-000002000000}">
      <text>
        <r>
          <rPr>
            <b/>
            <sz val="8"/>
            <color indexed="81"/>
            <rFont val="Tahoma"/>
            <family val="2"/>
          </rPr>
          <t>Enter a brief description of the test</t>
        </r>
        <r>
          <rPr>
            <sz val="8"/>
            <color indexed="81"/>
            <rFont val="Tahoma"/>
            <family val="2"/>
          </rPr>
          <t xml:space="preserve">
</t>
        </r>
      </text>
    </comment>
    <comment ref="C5" authorId="0" shapeId="0" xr:uid="{00000000-0006-0000-0400-000003000000}">
      <text>
        <r>
          <rPr>
            <b/>
            <sz val="8"/>
            <color indexed="81"/>
            <rFont val="Tahoma"/>
            <family val="2"/>
          </rPr>
          <t>Either
- Test Prerequisite    or 
- Test Precondition   or
- Other note</t>
        </r>
        <r>
          <rPr>
            <sz val="8"/>
            <color indexed="81"/>
            <rFont val="Tahoma"/>
            <family val="2"/>
          </rPr>
          <t xml:space="preserve">
</t>
        </r>
      </text>
    </comment>
    <comment ref="D5" authorId="0" shapeId="0" xr:uid="{00000000-0006-0000-0400-000004000000}">
      <text>
        <r>
          <rPr>
            <b/>
            <sz val="8"/>
            <color indexed="81"/>
            <rFont val="Tahoma"/>
            <family val="2"/>
          </rPr>
          <t>Enter a brief description of the expected result</t>
        </r>
        <r>
          <rPr>
            <sz val="8"/>
            <color indexed="81"/>
            <rFont val="Tahoma"/>
            <family val="2"/>
          </rPr>
          <t xml:space="preserve">
</t>
        </r>
      </text>
    </comment>
    <comment ref="E5" authorId="0" shapeId="0" xr:uid="{00000000-0006-0000-0400-000005000000}">
      <text>
        <r>
          <rPr>
            <b/>
            <sz val="8"/>
            <color indexed="81"/>
            <rFont val="Tahoma"/>
            <family val="2"/>
          </rPr>
          <t xml:space="preserve">Either
- Done  (for step)     or
- Pass                          or
- Fail
If Fail, then complete Test 
Incident Report
</t>
        </r>
      </text>
    </comment>
    <comment ref="F5" authorId="0" shapeId="0" xr:uid="{00000000-0006-0000-0400-000006000000}">
      <text>
        <r>
          <rPr>
            <b/>
            <sz val="8"/>
            <color indexed="81"/>
            <rFont val="Tahoma"/>
            <family val="2"/>
          </rPr>
          <t>Enter details of actual results</t>
        </r>
        <r>
          <rPr>
            <sz val="8"/>
            <color indexed="81"/>
            <rFont val="Tahoma"/>
            <family val="2"/>
          </rPr>
          <t xml:space="preserve">
</t>
        </r>
      </text>
    </comment>
    <comment ref="G5" authorId="0" shapeId="0" xr:uid="{00000000-0006-0000-0400-000007000000}">
      <text>
        <r>
          <rPr>
            <b/>
            <sz val="8"/>
            <color indexed="81"/>
            <rFont val="Tahoma"/>
            <family val="2"/>
          </rPr>
          <t>Enter the date this test was run and how long the test took to run</t>
        </r>
      </text>
    </comment>
    <comment ref="H5" authorId="0" shapeId="0" xr:uid="{00000000-0006-0000-0400-000008000000}">
      <text>
        <r>
          <rPr>
            <b/>
            <sz val="8"/>
            <color indexed="81"/>
            <rFont val="Tahoma"/>
            <family val="2"/>
          </rPr>
          <t>The name of the tester</t>
        </r>
        <r>
          <rPr>
            <sz val="8"/>
            <color indexed="81"/>
            <rFont val="Tahoma"/>
            <family val="2"/>
          </rPr>
          <t xml:space="preserve">
</t>
        </r>
      </text>
    </comment>
    <comment ref="I5" authorId="0" shapeId="0" xr:uid="{00000000-0006-0000-0400-000009000000}">
      <text>
        <r>
          <rPr>
            <b/>
            <sz val="8"/>
            <color indexed="81"/>
            <rFont val="Tahoma"/>
            <family val="2"/>
          </rPr>
          <t>If a test fails, use the Test Incident Report Form.
Send it to the Test Manager.</t>
        </r>
        <r>
          <rPr>
            <sz val="8"/>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 authorId="0" shapeId="0" xr:uid="{00000000-0006-0000-0500-000001000000}">
      <text>
        <r>
          <rPr>
            <b/>
            <sz val="8"/>
            <color indexed="81"/>
            <rFont val="Tahoma"/>
            <family val="2"/>
          </rPr>
          <t>- Step Number</t>
        </r>
      </text>
    </comment>
    <comment ref="B5" authorId="0" shapeId="0" xr:uid="{00000000-0006-0000-0500-000002000000}">
      <text>
        <r>
          <rPr>
            <b/>
            <sz val="8"/>
            <color indexed="81"/>
            <rFont val="Tahoma"/>
            <family val="2"/>
          </rPr>
          <t>Enter a brief description of the test</t>
        </r>
        <r>
          <rPr>
            <sz val="8"/>
            <color indexed="81"/>
            <rFont val="Tahoma"/>
            <family val="2"/>
          </rPr>
          <t xml:space="preserve">
</t>
        </r>
      </text>
    </comment>
    <comment ref="C5" authorId="0" shapeId="0" xr:uid="{00000000-0006-0000-0500-000003000000}">
      <text>
        <r>
          <rPr>
            <b/>
            <sz val="8"/>
            <color indexed="81"/>
            <rFont val="Tahoma"/>
            <family val="2"/>
          </rPr>
          <t>Either
- Test Prerequisite    or 
- Test Precondition   or
- Other note</t>
        </r>
        <r>
          <rPr>
            <sz val="8"/>
            <color indexed="81"/>
            <rFont val="Tahoma"/>
            <family val="2"/>
          </rPr>
          <t xml:space="preserve">
</t>
        </r>
      </text>
    </comment>
    <comment ref="D5" authorId="0" shapeId="0" xr:uid="{00000000-0006-0000-0500-000004000000}">
      <text>
        <r>
          <rPr>
            <b/>
            <sz val="8"/>
            <color indexed="81"/>
            <rFont val="Tahoma"/>
            <family val="2"/>
          </rPr>
          <t>Enter a brief description of the expected result</t>
        </r>
        <r>
          <rPr>
            <sz val="8"/>
            <color indexed="81"/>
            <rFont val="Tahoma"/>
            <family val="2"/>
          </rPr>
          <t xml:space="preserve">
</t>
        </r>
      </text>
    </comment>
    <comment ref="E5" authorId="0" shapeId="0" xr:uid="{00000000-0006-0000-0500-000005000000}">
      <text>
        <r>
          <rPr>
            <b/>
            <sz val="8"/>
            <color indexed="81"/>
            <rFont val="Tahoma"/>
            <family val="2"/>
          </rPr>
          <t xml:space="preserve">Either
- Done  (for step)     or
- Pass                          or
- Fail
If Fail, then complete Test 
Incident Report
</t>
        </r>
      </text>
    </comment>
    <comment ref="F5" authorId="0" shapeId="0" xr:uid="{00000000-0006-0000-0500-000006000000}">
      <text>
        <r>
          <rPr>
            <b/>
            <sz val="8"/>
            <color indexed="81"/>
            <rFont val="Tahoma"/>
            <family val="2"/>
          </rPr>
          <t>Enter details of actual results</t>
        </r>
        <r>
          <rPr>
            <sz val="8"/>
            <color indexed="81"/>
            <rFont val="Tahoma"/>
            <family val="2"/>
          </rPr>
          <t xml:space="preserve">
</t>
        </r>
      </text>
    </comment>
    <comment ref="G5" authorId="0" shapeId="0" xr:uid="{00000000-0006-0000-0500-000007000000}">
      <text>
        <r>
          <rPr>
            <b/>
            <sz val="8"/>
            <color indexed="81"/>
            <rFont val="Tahoma"/>
            <family val="2"/>
          </rPr>
          <t>Enter the date this test was run and how long the test took to run</t>
        </r>
      </text>
    </comment>
    <comment ref="H5" authorId="0" shapeId="0" xr:uid="{00000000-0006-0000-0500-000008000000}">
      <text>
        <r>
          <rPr>
            <b/>
            <sz val="8"/>
            <color indexed="81"/>
            <rFont val="Tahoma"/>
            <family val="2"/>
          </rPr>
          <t>The name of the tester</t>
        </r>
        <r>
          <rPr>
            <sz val="8"/>
            <color indexed="81"/>
            <rFont val="Tahoma"/>
            <family val="2"/>
          </rPr>
          <t xml:space="preserve">
</t>
        </r>
      </text>
    </comment>
    <comment ref="I5" authorId="0" shapeId="0" xr:uid="{00000000-0006-0000-0500-000009000000}">
      <text>
        <r>
          <rPr>
            <b/>
            <sz val="8"/>
            <color indexed="81"/>
            <rFont val="Tahoma"/>
            <family val="2"/>
          </rPr>
          <t>If a test fails, use the Test Incident Report Form.
Send it to the Test Manager.</t>
        </r>
        <r>
          <rPr>
            <sz val="8"/>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 authorId="0" shapeId="0" xr:uid="{0D116553-5899-4014-BCC2-2A70B5646029}">
      <text>
        <r>
          <rPr>
            <b/>
            <sz val="8"/>
            <color indexed="81"/>
            <rFont val="Tahoma"/>
            <family val="2"/>
          </rPr>
          <t>- Step Number</t>
        </r>
      </text>
    </comment>
    <comment ref="B5" authorId="0" shapeId="0" xr:uid="{28D1D075-B475-4846-83CC-97D986F4050C}">
      <text>
        <r>
          <rPr>
            <b/>
            <sz val="8"/>
            <color indexed="81"/>
            <rFont val="Tahoma"/>
            <family val="2"/>
          </rPr>
          <t>Enter a brief description of the test</t>
        </r>
        <r>
          <rPr>
            <sz val="8"/>
            <color indexed="81"/>
            <rFont val="Tahoma"/>
            <family val="2"/>
          </rPr>
          <t xml:space="preserve">
</t>
        </r>
      </text>
    </comment>
    <comment ref="C5" authorId="0" shapeId="0" xr:uid="{003BF57B-57D3-42E8-8441-CC80CBD5B46D}">
      <text>
        <r>
          <rPr>
            <b/>
            <sz val="8"/>
            <color indexed="81"/>
            <rFont val="Tahoma"/>
            <family val="2"/>
          </rPr>
          <t>Either
- Test Prerequisite    or 
- Test Precondition   or
- Other note</t>
        </r>
        <r>
          <rPr>
            <sz val="8"/>
            <color indexed="81"/>
            <rFont val="Tahoma"/>
            <family val="2"/>
          </rPr>
          <t xml:space="preserve">
</t>
        </r>
      </text>
    </comment>
    <comment ref="D5" authorId="0" shapeId="0" xr:uid="{27562482-58C5-4788-ABC1-5E4D853BFBE9}">
      <text>
        <r>
          <rPr>
            <b/>
            <sz val="8"/>
            <color indexed="81"/>
            <rFont val="Tahoma"/>
            <family val="2"/>
          </rPr>
          <t>Enter a brief description of the expected result</t>
        </r>
        <r>
          <rPr>
            <sz val="8"/>
            <color indexed="81"/>
            <rFont val="Tahoma"/>
            <family val="2"/>
          </rPr>
          <t xml:space="preserve">
</t>
        </r>
      </text>
    </comment>
    <comment ref="E5" authorId="0" shapeId="0" xr:uid="{873306EA-8CBD-4A0E-8D83-ED66F5954E37}">
      <text>
        <r>
          <rPr>
            <b/>
            <sz val="8"/>
            <color indexed="81"/>
            <rFont val="Tahoma"/>
            <family val="2"/>
          </rPr>
          <t xml:space="preserve">Either
- Done  (for step)     or
- Pass                          or
- Fail
If Fail, then complete Test 
Incident Report
</t>
        </r>
      </text>
    </comment>
    <comment ref="F5" authorId="0" shapeId="0" xr:uid="{E20093A5-FC7A-426E-9525-334E48543A32}">
      <text>
        <r>
          <rPr>
            <b/>
            <sz val="8"/>
            <color indexed="81"/>
            <rFont val="Tahoma"/>
            <family val="2"/>
          </rPr>
          <t>Enter details of actual results</t>
        </r>
        <r>
          <rPr>
            <sz val="8"/>
            <color indexed="81"/>
            <rFont val="Tahoma"/>
            <family val="2"/>
          </rPr>
          <t xml:space="preserve">
</t>
        </r>
      </text>
    </comment>
    <comment ref="G5" authorId="0" shapeId="0" xr:uid="{D6003A4F-9469-4990-BD61-ECF914FAD526}">
      <text>
        <r>
          <rPr>
            <b/>
            <sz val="8"/>
            <color indexed="81"/>
            <rFont val="Tahoma"/>
            <family val="2"/>
          </rPr>
          <t>Enter the date this test was run and how long the test took to run</t>
        </r>
      </text>
    </comment>
    <comment ref="H5" authorId="0" shapeId="0" xr:uid="{52B84A50-14D5-4C98-A5E8-96EC8262F817}">
      <text>
        <r>
          <rPr>
            <b/>
            <sz val="8"/>
            <color indexed="81"/>
            <rFont val="Tahoma"/>
            <family val="2"/>
          </rPr>
          <t>The name of the tester</t>
        </r>
        <r>
          <rPr>
            <sz val="8"/>
            <color indexed="81"/>
            <rFont val="Tahoma"/>
            <family val="2"/>
          </rPr>
          <t xml:space="preserve">
</t>
        </r>
      </text>
    </comment>
    <comment ref="I5" authorId="0" shapeId="0" xr:uid="{7DE01F05-6C27-46BF-B88A-F500F05370FC}">
      <text>
        <r>
          <rPr>
            <b/>
            <sz val="8"/>
            <color indexed="81"/>
            <rFont val="Tahoma"/>
            <family val="2"/>
          </rPr>
          <t>If a test fails, use the Test Incident Report Form.
Send it to the Test Manager.</t>
        </r>
        <r>
          <rPr>
            <sz val="8"/>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 authorId="0" shapeId="0" xr:uid="{7C0B6AF6-5655-470A-8BFA-6C88465022D2}">
      <text>
        <r>
          <rPr>
            <b/>
            <sz val="8"/>
            <color indexed="81"/>
            <rFont val="Tahoma"/>
            <family val="2"/>
          </rPr>
          <t>- Step Number</t>
        </r>
      </text>
    </comment>
    <comment ref="B5" authorId="0" shapeId="0" xr:uid="{E5BCE676-1122-45EF-B926-F384BE927DB1}">
      <text>
        <r>
          <rPr>
            <b/>
            <sz val="8"/>
            <color indexed="81"/>
            <rFont val="Tahoma"/>
            <family val="2"/>
          </rPr>
          <t>Enter a brief description of the test</t>
        </r>
        <r>
          <rPr>
            <sz val="8"/>
            <color indexed="81"/>
            <rFont val="Tahoma"/>
            <family val="2"/>
          </rPr>
          <t xml:space="preserve">
</t>
        </r>
      </text>
    </comment>
    <comment ref="C5" authorId="0" shapeId="0" xr:uid="{A6D5F13F-4D32-4878-B802-C73DB7A34BAD}">
      <text>
        <r>
          <rPr>
            <b/>
            <sz val="8"/>
            <color indexed="81"/>
            <rFont val="Tahoma"/>
            <family val="2"/>
          </rPr>
          <t>Either
- Test Prerequisite    or 
- Test Precondition   or
- Other note</t>
        </r>
        <r>
          <rPr>
            <sz val="8"/>
            <color indexed="81"/>
            <rFont val="Tahoma"/>
            <family val="2"/>
          </rPr>
          <t xml:space="preserve">
</t>
        </r>
      </text>
    </comment>
    <comment ref="D5" authorId="0" shapeId="0" xr:uid="{39359C15-09FA-480E-8A1A-E7302AED70C1}">
      <text>
        <r>
          <rPr>
            <b/>
            <sz val="8"/>
            <color indexed="81"/>
            <rFont val="Tahoma"/>
            <family val="2"/>
          </rPr>
          <t>Enter a brief description of the expected result</t>
        </r>
        <r>
          <rPr>
            <sz val="8"/>
            <color indexed="81"/>
            <rFont val="Tahoma"/>
            <family val="2"/>
          </rPr>
          <t xml:space="preserve">
</t>
        </r>
      </text>
    </comment>
    <comment ref="E5" authorId="0" shapeId="0" xr:uid="{E08E86C9-C8FE-4932-A4D0-8D3BE4D3C830}">
      <text>
        <r>
          <rPr>
            <b/>
            <sz val="8"/>
            <color indexed="81"/>
            <rFont val="Tahoma"/>
            <family val="2"/>
          </rPr>
          <t xml:space="preserve">Either
- Done  (for step)     or
- Pass                          or
- Fail
If Fail, then complete Test 
Incident Report
</t>
        </r>
      </text>
    </comment>
    <comment ref="F5" authorId="0" shapeId="0" xr:uid="{41080832-44C5-4160-B842-97FCF424D85D}">
      <text>
        <r>
          <rPr>
            <b/>
            <sz val="8"/>
            <color indexed="81"/>
            <rFont val="Tahoma"/>
            <family val="2"/>
          </rPr>
          <t>Enter details of actual results</t>
        </r>
        <r>
          <rPr>
            <sz val="8"/>
            <color indexed="81"/>
            <rFont val="Tahoma"/>
            <family val="2"/>
          </rPr>
          <t xml:space="preserve">
</t>
        </r>
      </text>
    </comment>
    <comment ref="G5" authorId="0" shapeId="0" xr:uid="{A8A18436-9DFA-409F-9E61-073EDC93E91E}">
      <text>
        <r>
          <rPr>
            <b/>
            <sz val="8"/>
            <color indexed="81"/>
            <rFont val="Tahoma"/>
            <family val="2"/>
          </rPr>
          <t>Enter the date this test was run and how long the test took to run</t>
        </r>
      </text>
    </comment>
    <comment ref="H5" authorId="0" shapeId="0" xr:uid="{26C6B944-C782-4837-8640-4FF1C01C5B8B}">
      <text>
        <r>
          <rPr>
            <b/>
            <sz val="8"/>
            <color indexed="81"/>
            <rFont val="Tahoma"/>
            <family val="2"/>
          </rPr>
          <t>The name of the tester</t>
        </r>
        <r>
          <rPr>
            <sz val="8"/>
            <color indexed="81"/>
            <rFont val="Tahoma"/>
            <family val="2"/>
          </rPr>
          <t xml:space="preserve">
</t>
        </r>
      </text>
    </comment>
    <comment ref="I5" authorId="0" shapeId="0" xr:uid="{1B332A63-9775-44F9-A998-85E48D672208}">
      <text>
        <r>
          <rPr>
            <b/>
            <sz val="8"/>
            <color indexed="81"/>
            <rFont val="Tahoma"/>
            <family val="2"/>
          </rPr>
          <t>If a test fails, use the Test Incident Report Form.
Send it to the Test Manager.</t>
        </r>
        <r>
          <rPr>
            <sz val="8"/>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 authorId="0" shapeId="0" xr:uid="{C20FDCC1-9EDA-44FB-A886-7717C99E46B7}">
      <text>
        <r>
          <rPr>
            <b/>
            <sz val="8"/>
            <color indexed="81"/>
            <rFont val="Tahoma"/>
            <family val="2"/>
          </rPr>
          <t>- Step Number</t>
        </r>
      </text>
    </comment>
    <comment ref="B5" authorId="0" shapeId="0" xr:uid="{3FF288E1-D521-468C-BD53-9909E90EA598}">
      <text>
        <r>
          <rPr>
            <b/>
            <sz val="8"/>
            <color indexed="81"/>
            <rFont val="Tahoma"/>
            <family val="2"/>
          </rPr>
          <t>Enter a brief description of the test</t>
        </r>
        <r>
          <rPr>
            <sz val="8"/>
            <color indexed="81"/>
            <rFont val="Tahoma"/>
            <family val="2"/>
          </rPr>
          <t xml:space="preserve">
</t>
        </r>
      </text>
    </comment>
    <comment ref="C5" authorId="0" shapeId="0" xr:uid="{7F7BB97D-65A6-452A-ACDB-E50D6A8A01A7}">
      <text>
        <r>
          <rPr>
            <b/>
            <sz val="8"/>
            <color indexed="81"/>
            <rFont val="Tahoma"/>
            <family val="2"/>
          </rPr>
          <t>Either
- Test Prerequisite    or 
- Test Precondition   or
- Other note</t>
        </r>
        <r>
          <rPr>
            <sz val="8"/>
            <color indexed="81"/>
            <rFont val="Tahoma"/>
            <family val="2"/>
          </rPr>
          <t xml:space="preserve">
</t>
        </r>
      </text>
    </comment>
    <comment ref="D5" authorId="0" shapeId="0" xr:uid="{538EB24C-1F7D-42CA-8431-AF34C8310F4B}">
      <text>
        <r>
          <rPr>
            <b/>
            <sz val="8"/>
            <color indexed="81"/>
            <rFont val="Tahoma"/>
            <family val="2"/>
          </rPr>
          <t>Enter a brief description of the expected result</t>
        </r>
        <r>
          <rPr>
            <sz val="8"/>
            <color indexed="81"/>
            <rFont val="Tahoma"/>
            <family val="2"/>
          </rPr>
          <t xml:space="preserve">
</t>
        </r>
      </text>
    </comment>
    <comment ref="E5" authorId="0" shapeId="0" xr:uid="{1B2EF555-E4DF-4330-A94D-AA7BC2226810}">
      <text>
        <r>
          <rPr>
            <b/>
            <sz val="8"/>
            <color indexed="81"/>
            <rFont val="Tahoma"/>
            <family val="2"/>
          </rPr>
          <t xml:space="preserve">Either
- Done  (for step)     or
- Pass                          or
- Fail
If Fail, then complete Test 
Incident Report
</t>
        </r>
      </text>
    </comment>
    <comment ref="F5" authorId="0" shapeId="0" xr:uid="{2829CED9-BB6A-48F7-8BC1-48A2FDFD8FAF}">
      <text>
        <r>
          <rPr>
            <b/>
            <sz val="8"/>
            <color indexed="81"/>
            <rFont val="Tahoma"/>
            <family val="2"/>
          </rPr>
          <t>Enter details of actual results</t>
        </r>
        <r>
          <rPr>
            <sz val="8"/>
            <color indexed="81"/>
            <rFont val="Tahoma"/>
            <family val="2"/>
          </rPr>
          <t xml:space="preserve">
</t>
        </r>
      </text>
    </comment>
    <comment ref="G5" authorId="0" shapeId="0" xr:uid="{CA0ACEF6-0297-4C6F-819D-BD97AF05F853}">
      <text>
        <r>
          <rPr>
            <b/>
            <sz val="8"/>
            <color indexed="81"/>
            <rFont val="Tahoma"/>
            <family val="2"/>
          </rPr>
          <t>Enter the date this test was run and how long the test took to run</t>
        </r>
      </text>
    </comment>
    <comment ref="H5" authorId="0" shapeId="0" xr:uid="{40FD4D9D-017A-4E97-94A6-B87B6A568AAE}">
      <text>
        <r>
          <rPr>
            <b/>
            <sz val="8"/>
            <color indexed="81"/>
            <rFont val="Tahoma"/>
            <family val="2"/>
          </rPr>
          <t>The name of the tester</t>
        </r>
        <r>
          <rPr>
            <sz val="8"/>
            <color indexed="81"/>
            <rFont val="Tahoma"/>
            <family val="2"/>
          </rPr>
          <t xml:space="preserve">
</t>
        </r>
      </text>
    </comment>
    <comment ref="I5" authorId="0" shapeId="0" xr:uid="{EFCBE7E8-B129-43F2-8F35-5D89889FC943}">
      <text>
        <r>
          <rPr>
            <b/>
            <sz val="8"/>
            <color indexed="81"/>
            <rFont val="Tahoma"/>
            <family val="2"/>
          </rPr>
          <t>If a test fails, use the Test Incident Report Form.
Send it to the Test Manager.</t>
        </r>
        <r>
          <rPr>
            <sz val="8"/>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 authorId="0" shapeId="0" xr:uid="{D8EA3E3A-03B2-4611-873C-F25E6FEFDE5D}">
      <text>
        <r>
          <rPr>
            <b/>
            <sz val="8"/>
            <color indexed="81"/>
            <rFont val="Tahoma"/>
            <family val="2"/>
          </rPr>
          <t>- Step Number</t>
        </r>
      </text>
    </comment>
    <comment ref="B5" authorId="0" shapeId="0" xr:uid="{5DC70704-65CB-4D18-9012-96834FC7F4F4}">
      <text>
        <r>
          <rPr>
            <b/>
            <sz val="8"/>
            <color indexed="81"/>
            <rFont val="Tahoma"/>
            <family val="2"/>
          </rPr>
          <t>Enter a brief description of the test</t>
        </r>
        <r>
          <rPr>
            <sz val="8"/>
            <color indexed="81"/>
            <rFont val="Tahoma"/>
            <family val="2"/>
          </rPr>
          <t xml:space="preserve">
</t>
        </r>
      </text>
    </comment>
    <comment ref="C5" authorId="0" shapeId="0" xr:uid="{4030910C-4D9A-47F3-83F6-F0801F40DCC3}">
      <text>
        <r>
          <rPr>
            <b/>
            <sz val="8"/>
            <color indexed="81"/>
            <rFont val="Tahoma"/>
            <family val="2"/>
          </rPr>
          <t>Either
- Test Prerequisite    or 
- Test Precondition   or
- Other note</t>
        </r>
        <r>
          <rPr>
            <sz val="8"/>
            <color indexed="81"/>
            <rFont val="Tahoma"/>
            <family val="2"/>
          </rPr>
          <t xml:space="preserve">
</t>
        </r>
      </text>
    </comment>
    <comment ref="D5" authorId="0" shapeId="0" xr:uid="{C104BEC5-E1E9-4022-9AEC-1AF22CD257FC}">
      <text>
        <r>
          <rPr>
            <b/>
            <sz val="8"/>
            <color indexed="81"/>
            <rFont val="Tahoma"/>
            <family val="2"/>
          </rPr>
          <t>Enter a brief description of the expected result</t>
        </r>
        <r>
          <rPr>
            <sz val="8"/>
            <color indexed="81"/>
            <rFont val="Tahoma"/>
            <family val="2"/>
          </rPr>
          <t xml:space="preserve">
</t>
        </r>
      </text>
    </comment>
    <comment ref="E5" authorId="0" shapeId="0" xr:uid="{02A1A7AA-349C-464A-BDB6-C343836346E4}">
      <text>
        <r>
          <rPr>
            <b/>
            <sz val="8"/>
            <color indexed="81"/>
            <rFont val="Tahoma"/>
            <family val="2"/>
          </rPr>
          <t xml:space="preserve">Either
- Done  (for step)     or
- Pass                          or
- Fail
If Fail, then complete Test 
Incident Report
</t>
        </r>
      </text>
    </comment>
    <comment ref="F5" authorId="0" shapeId="0" xr:uid="{36014A62-A47F-4C07-81A3-C7CFD50CC722}">
      <text>
        <r>
          <rPr>
            <b/>
            <sz val="8"/>
            <color indexed="81"/>
            <rFont val="Tahoma"/>
            <family val="2"/>
          </rPr>
          <t>Enter details of actual results</t>
        </r>
        <r>
          <rPr>
            <sz val="8"/>
            <color indexed="81"/>
            <rFont val="Tahoma"/>
            <family val="2"/>
          </rPr>
          <t xml:space="preserve">
</t>
        </r>
      </text>
    </comment>
    <comment ref="G5" authorId="0" shapeId="0" xr:uid="{45184EC7-45F5-4CDE-A55C-0E32D7CBCE5F}">
      <text>
        <r>
          <rPr>
            <b/>
            <sz val="8"/>
            <color indexed="81"/>
            <rFont val="Tahoma"/>
            <family val="2"/>
          </rPr>
          <t>Enter the date this test was run and how long the test took to run</t>
        </r>
      </text>
    </comment>
    <comment ref="H5" authorId="0" shapeId="0" xr:uid="{7607D94F-C7CE-43C2-A64F-CA9D129D3D54}">
      <text>
        <r>
          <rPr>
            <b/>
            <sz val="8"/>
            <color indexed="81"/>
            <rFont val="Tahoma"/>
            <family val="2"/>
          </rPr>
          <t>The name of the tester</t>
        </r>
        <r>
          <rPr>
            <sz val="8"/>
            <color indexed="81"/>
            <rFont val="Tahoma"/>
            <family val="2"/>
          </rPr>
          <t xml:space="preserve">
</t>
        </r>
      </text>
    </comment>
    <comment ref="I5" authorId="0" shapeId="0" xr:uid="{62B8E556-327E-423B-96A4-3F162048A7F3}">
      <text>
        <r>
          <rPr>
            <b/>
            <sz val="8"/>
            <color indexed="81"/>
            <rFont val="Tahoma"/>
            <family val="2"/>
          </rPr>
          <t>If a test fails, use the Test Incident Report Form.
Send it to the Test Manager.</t>
        </r>
        <r>
          <rPr>
            <sz val="8"/>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 authorId="0" shapeId="0" xr:uid="{53205327-6679-41F7-A8D1-26A19B31BA1A}">
      <text>
        <r>
          <rPr>
            <b/>
            <sz val="8"/>
            <color indexed="81"/>
            <rFont val="Tahoma"/>
            <family val="2"/>
          </rPr>
          <t>- Step Number</t>
        </r>
      </text>
    </comment>
    <comment ref="B5" authorId="0" shapeId="0" xr:uid="{1992B41C-277E-4990-A95F-EA70FD6EA9EB}">
      <text>
        <r>
          <rPr>
            <b/>
            <sz val="8"/>
            <color indexed="81"/>
            <rFont val="Tahoma"/>
            <family val="2"/>
          </rPr>
          <t>Enter a brief description of the test</t>
        </r>
        <r>
          <rPr>
            <sz val="8"/>
            <color indexed="81"/>
            <rFont val="Tahoma"/>
            <family val="2"/>
          </rPr>
          <t xml:space="preserve">
</t>
        </r>
      </text>
    </comment>
    <comment ref="C5" authorId="0" shapeId="0" xr:uid="{2BEDDE02-3592-4680-927A-6115FD0A30EF}">
      <text>
        <r>
          <rPr>
            <b/>
            <sz val="8"/>
            <color indexed="81"/>
            <rFont val="Tahoma"/>
            <family val="2"/>
          </rPr>
          <t>Either
- Test Prerequisite    or 
- Test Precondition   or
- Other note</t>
        </r>
        <r>
          <rPr>
            <sz val="8"/>
            <color indexed="81"/>
            <rFont val="Tahoma"/>
            <family val="2"/>
          </rPr>
          <t xml:space="preserve">
</t>
        </r>
      </text>
    </comment>
    <comment ref="D5" authorId="0" shapeId="0" xr:uid="{9C515E81-643A-46A3-A35D-32BCC2EFB255}">
      <text>
        <r>
          <rPr>
            <b/>
            <sz val="8"/>
            <color indexed="81"/>
            <rFont val="Tahoma"/>
            <family val="2"/>
          </rPr>
          <t>Enter a brief description of the expected result</t>
        </r>
        <r>
          <rPr>
            <sz val="8"/>
            <color indexed="81"/>
            <rFont val="Tahoma"/>
            <family val="2"/>
          </rPr>
          <t xml:space="preserve">
</t>
        </r>
      </text>
    </comment>
    <comment ref="E5" authorId="0" shapeId="0" xr:uid="{1B366F12-6D82-460D-ABFE-DB8E9B3AE831}">
      <text>
        <r>
          <rPr>
            <b/>
            <sz val="8"/>
            <color indexed="81"/>
            <rFont val="Tahoma"/>
            <family val="2"/>
          </rPr>
          <t xml:space="preserve">Either
- Done  (for step)     or
- Pass                          or
- Fail
If Fail, then complete Test 
Incident Report
</t>
        </r>
      </text>
    </comment>
    <comment ref="F5" authorId="0" shapeId="0" xr:uid="{9DDA08DC-7A51-4B94-8BE2-D80B9E9B29E1}">
      <text>
        <r>
          <rPr>
            <b/>
            <sz val="8"/>
            <color indexed="81"/>
            <rFont val="Tahoma"/>
            <family val="2"/>
          </rPr>
          <t>Enter details of actual results</t>
        </r>
        <r>
          <rPr>
            <sz val="8"/>
            <color indexed="81"/>
            <rFont val="Tahoma"/>
            <family val="2"/>
          </rPr>
          <t xml:space="preserve">
</t>
        </r>
      </text>
    </comment>
    <comment ref="G5" authorId="0" shapeId="0" xr:uid="{01E44E72-1034-4687-8015-DBF41D42AC71}">
      <text>
        <r>
          <rPr>
            <b/>
            <sz val="8"/>
            <color indexed="81"/>
            <rFont val="Tahoma"/>
            <family val="2"/>
          </rPr>
          <t>Enter the date this test was run and how long the test took to run</t>
        </r>
      </text>
    </comment>
    <comment ref="H5" authorId="0" shapeId="0" xr:uid="{7668E208-2BE5-4242-8E1F-07AEA01FAD30}">
      <text>
        <r>
          <rPr>
            <b/>
            <sz val="8"/>
            <color indexed="81"/>
            <rFont val="Tahoma"/>
            <family val="2"/>
          </rPr>
          <t>The name of the tester</t>
        </r>
        <r>
          <rPr>
            <sz val="8"/>
            <color indexed="81"/>
            <rFont val="Tahoma"/>
            <family val="2"/>
          </rPr>
          <t xml:space="preserve">
</t>
        </r>
      </text>
    </comment>
    <comment ref="I5" authorId="0" shapeId="0" xr:uid="{E5EDE908-4CC9-4538-8CBD-6181A064D005}">
      <text>
        <r>
          <rPr>
            <b/>
            <sz val="8"/>
            <color indexed="81"/>
            <rFont val="Tahoma"/>
            <family val="2"/>
          </rPr>
          <t>If a test fails, use the Test Incident Report Form.
Send it to the Test Manager.</t>
        </r>
        <r>
          <rPr>
            <sz val="8"/>
            <color indexed="81"/>
            <rFont val="Tahoma"/>
            <family val="2"/>
          </rPr>
          <t xml:space="preserve">
</t>
        </r>
      </text>
    </comment>
  </commentList>
</comments>
</file>

<file path=xl/sharedStrings.xml><?xml version="1.0" encoding="utf-8"?>
<sst xmlns="http://schemas.openxmlformats.org/spreadsheetml/2006/main" count="893" uniqueCount="249">
  <si>
    <t>Note</t>
  </si>
  <si>
    <t>Description</t>
  </si>
  <si>
    <t>Expected Result</t>
  </si>
  <si>
    <t>Result</t>
  </si>
  <si>
    <t>Result Details</t>
  </si>
  <si>
    <t>Test Phase</t>
  </si>
  <si>
    <t>Test Planning</t>
  </si>
  <si>
    <t>Test Execution</t>
  </si>
  <si>
    <t>Tester's Name</t>
  </si>
  <si>
    <t>Resource</t>
  </si>
  <si>
    <t>Test Case Identifier</t>
  </si>
  <si>
    <t>Test Case:</t>
  </si>
  <si>
    <t>System:</t>
  </si>
  <si>
    <t>Status</t>
  </si>
  <si>
    <t>TC02</t>
  </si>
  <si>
    <t>TC05</t>
  </si>
  <si>
    <t>TC03</t>
  </si>
  <si>
    <t>TC04</t>
  </si>
  <si>
    <t>TC01</t>
  </si>
  <si>
    <t>Date Run / Duration</t>
  </si>
  <si>
    <t xml:space="preserve"> Project:</t>
  </si>
  <si>
    <t xml:space="preserve"> System:</t>
  </si>
  <si>
    <t>Defect found? Defect No.</t>
  </si>
  <si>
    <t>Test Objective</t>
  </si>
  <si>
    <t>Step</t>
  </si>
  <si>
    <t>Final result:</t>
  </si>
  <si>
    <t>Test Case</t>
  </si>
  <si>
    <t>Project Name</t>
  </si>
  <si>
    <t xml:space="preserve"> Project Name  -  Defect Report</t>
  </si>
  <si>
    <t>Defect Id</t>
  </si>
  <si>
    <t>Date</t>
  </si>
  <si>
    <t>Test Script Ref #</t>
  </si>
  <si>
    <t>Test Script Description</t>
  </si>
  <si>
    <t>Test Case ID</t>
  </si>
  <si>
    <t>Defect Description</t>
  </si>
  <si>
    <t>Category</t>
  </si>
  <si>
    <t>Severity</t>
  </si>
  <si>
    <t>Detected By</t>
  </si>
  <si>
    <t>Responsibility</t>
  </si>
  <si>
    <t>Closed Date</t>
  </si>
  <si>
    <t>Remarks – Test Team</t>
  </si>
  <si>
    <t>Test</t>
  </si>
  <si>
    <t>Test Case 10</t>
  </si>
  <si>
    <t>Test Case 11</t>
  </si>
  <si>
    <t>Fill out add customer form and save it</t>
  </si>
  <si>
    <t>Add customer form</t>
  </si>
  <si>
    <t>Test Add customer form is functioning correctly</t>
  </si>
  <si>
    <t>Form should be filled out correctly</t>
  </si>
  <si>
    <t>New customer should be recorded</t>
  </si>
  <si>
    <t>Pass</t>
  </si>
  <si>
    <t>Passed</t>
  </si>
  <si>
    <t>New customer was succesfully recorded</t>
  </si>
  <si>
    <t>1/30/2019, 2 minutes</t>
  </si>
  <si>
    <t>Vladimir</t>
  </si>
  <si>
    <t>Error message</t>
  </si>
  <si>
    <t>Failed</t>
  </si>
  <si>
    <t>1/30/2019, 1 minute</t>
  </si>
  <si>
    <t>Fill the form without not required fields</t>
  </si>
  <si>
    <t xml:space="preserve">Put numbers in first and last name fields </t>
  </si>
  <si>
    <t>Put letters in the phone number field</t>
  </si>
  <si>
    <t>"Invalid email address!'' message appeared</t>
  </si>
  <si>
    <t>Add identical to already existing customer</t>
  </si>
  <si>
    <t>Error message appeared</t>
  </si>
  <si>
    <t>Edit customer details</t>
  </si>
  <si>
    <t>Use correct information</t>
  </si>
  <si>
    <t>Updated customer details should appear</t>
  </si>
  <si>
    <t>Information was succesfully updated</t>
  </si>
  <si>
    <t>Use incorrect email</t>
  </si>
  <si>
    <t>Click "cancel" button instead of "save"</t>
  </si>
  <si>
    <t>Information shouldn't be updated</t>
  </si>
  <si>
    <t>Information wasn't updated</t>
  </si>
  <si>
    <t>Delete customer</t>
  </si>
  <si>
    <t>Click "delete" in the confimation dialogue</t>
  </si>
  <si>
    <t>Record should be deleted</t>
  </si>
  <si>
    <t>Record was deleted</t>
  </si>
  <si>
    <t>Click "cancel" in the confimation dialogue</t>
  </si>
  <si>
    <t>Record shouldn't be deleted</t>
  </si>
  <si>
    <t>Record wasn't deleted</t>
  </si>
  <si>
    <t>Customer Search bar test</t>
  </si>
  <si>
    <t>Filled with correct information</t>
  </si>
  <si>
    <t>Customer should be found</t>
  </si>
  <si>
    <t>Customer wasn't found</t>
  </si>
  <si>
    <t>Admin Panel Testing</t>
  </si>
  <si>
    <t>Add services form</t>
  </si>
  <si>
    <t>Test Add sevices form is functioning correctly</t>
  </si>
  <si>
    <t>Fill out add service form and save it</t>
  </si>
  <si>
    <t>New service should be recorded</t>
  </si>
  <si>
    <t>New service was succesfully recorded</t>
  </si>
  <si>
    <t>Instead of name use numbers</t>
  </si>
  <si>
    <t>Use letters in the duration field</t>
  </si>
  <si>
    <t>It doesn't allow to write letters</t>
  </si>
  <si>
    <t>Use letters in the price field</t>
  </si>
  <si>
    <t>Use letters in the attendants number field</t>
  </si>
  <si>
    <t>Use numbers in the currency field</t>
  </si>
  <si>
    <t>Edit service</t>
  </si>
  <si>
    <t>Use incorrect information</t>
  </si>
  <si>
    <t>Search bar</t>
  </si>
  <si>
    <t>Record was succesfully found</t>
  </si>
  <si>
    <t>Filled with incorrect information</t>
  </si>
  <si>
    <t>Record wasn't found</t>
  </si>
  <si>
    <t>Clear button</t>
  </si>
  <si>
    <t>Record should be updated</t>
  </si>
  <si>
    <t>Record should be found</t>
  </si>
  <si>
    <t>Record shoudn't be updated</t>
  </si>
  <si>
    <t>Record shouldn't be found</t>
  </si>
  <si>
    <t>Search bar should be cleared</t>
  </si>
  <si>
    <t>Search bar was cleared</t>
  </si>
  <si>
    <t>Delete service</t>
  </si>
  <si>
    <t>Add category form</t>
  </si>
  <si>
    <t>Test add category form is functioning correctly</t>
  </si>
  <si>
    <t>Fill out add category form and save it</t>
  </si>
  <si>
    <t>New category should be recorded</t>
  </si>
  <si>
    <t>Use just special symbold</t>
  </si>
  <si>
    <t>Without description field</t>
  </si>
  <si>
    <t>Without name field</t>
  </si>
  <si>
    <t>It didn't allow me to save it</t>
  </si>
  <si>
    <t>Should be filled out correctly</t>
  </si>
  <si>
    <t>Record was found</t>
  </si>
  <si>
    <t>Edit record</t>
  </si>
  <si>
    <t>Record was updated</t>
  </si>
  <si>
    <t>Delete record</t>
  </si>
  <si>
    <t>Test if all forms are functioning correctly</t>
  </si>
  <si>
    <t>Fail</t>
  </si>
  <si>
    <t>Update company name</t>
  </si>
  <si>
    <t>Correct company name</t>
  </si>
  <si>
    <t>Company name should be updated</t>
  </si>
  <si>
    <t>Company name was updated</t>
  </si>
  <si>
    <t>Use only special symbol in the name</t>
  </si>
  <si>
    <t>Leave the field empty</t>
  </si>
  <si>
    <t>Update email address</t>
  </si>
  <si>
    <t>Email address was updated</t>
  </si>
  <si>
    <t>30/01/2019, 1 minute</t>
  </si>
  <si>
    <t>Not use "@" symbol</t>
  </si>
  <si>
    <t>Not use ''@'' symbol in the email field</t>
  </si>
  <si>
    <t>Update company link</t>
  </si>
  <si>
    <t>Use incorrect link</t>
  </si>
  <si>
    <t>Company link was updated</t>
  </si>
  <si>
    <t>Use incorrect Google Analytics Id</t>
  </si>
  <si>
    <t>Google analytics id was updated</t>
  </si>
  <si>
    <t>Change date format</t>
  </si>
  <si>
    <t>Updated date format</t>
  </si>
  <si>
    <t>Date format was updated</t>
  </si>
  <si>
    <t>Change time format</t>
  </si>
  <si>
    <t>Updated time format</t>
  </si>
  <si>
    <t>Time format was updated</t>
  </si>
  <si>
    <t>Turn off customer notifications</t>
  </si>
  <si>
    <t>Customer notifications are turned off</t>
  </si>
  <si>
    <t>Turn on captcha</t>
  </si>
  <si>
    <t>Customers have to pass captcha</t>
  </si>
  <si>
    <t>Horribly failed</t>
  </si>
  <si>
    <t>Test if Business logic page is functioning correctly</t>
  </si>
  <si>
    <t>Turn off one of the days</t>
  </si>
  <si>
    <t>This day isn't available anymore</t>
  </si>
  <si>
    <t>Update start and end times</t>
  </si>
  <si>
    <t>Succesfully updated</t>
  </si>
  <si>
    <t>Click "Now" button</t>
  </si>
  <si>
    <t>Current time should appear</t>
  </si>
  <si>
    <t>Current time appeared</t>
  </si>
  <si>
    <t>Use letters</t>
  </si>
  <si>
    <t>It didn't allow me to type in letters</t>
  </si>
  <si>
    <t>Update book advance field</t>
  </si>
  <si>
    <t>Use negative number</t>
  </si>
  <si>
    <t>Add break</t>
  </si>
  <si>
    <t>Succesfully added</t>
  </si>
  <si>
    <t>Use incorrect time format</t>
  </si>
  <si>
    <t>Update break time</t>
  </si>
  <si>
    <t>Use correct time</t>
  </si>
  <si>
    <t>Delete break time</t>
  </si>
  <si>
    <t>Deleted break time</t>
  </si>
  <si>
    <t>Break time was deleted</t>
  </si>
  <si>
    <t>Settings page - General</t>
  </si>
  <si>
    <t>Settings page - Business Logic</t>
  </si>
  <si>
    <t>Settings page - Legal Contents</t>
  </si>
  <si>
    <t>Test if Legal Contents page is functioning correctly</t>
  </si>
  <si>
    <t>TC06</t>
  </si>
  <si>
    <t>Cookie notice</t>
  </si>
  <si>
    <t>Turn on "Display cookie notice"</t>
  </si>
  <si>
    <t>Cookie notice is displayed to the user</t>
  </si>
  <si>
    <t>Turms &amp; Conditions</t>
  </si>
  <si>
    <t>Turn on "Turms &amp; Conditions"</t>
  </si>
  <si>
    <t>Turms &amp; Conditions are displayed to the user</t>
  </si>
  <si>
    <t>Privacy policy</t>
  </si>
  <si>
    <t>Turn on "Privacy policy"</t>
  </si>
  <si>
    <t>Privacy policy is displayed to the user</t>
  </si>
  <si>
    <t>Update "Turms &amp; Conditions form"</t>
  </si>
  <si>
    <t>Update "cookie notice" form</t>
  </si>
  <si>
    <t>Update "Privacy policy form"</t>
  </si>
  <si>
    <t>Updated cookie notice</t>
  </si>
  <si>
    <t>Updated Turms &amp; Conditions</t>
  </si>
  <si>
    <t>Updated Privacy policy</t>
  </si>
  <si>
    <t>Cookie notice is updated</t>
  </si>
  <si>
    <t>Turms &amp; Conditions are updated</t>
  </si>
  <si>
    <t>Privacy policy is updated</t>
  </si>
  <si>
    <t>All forms</t>
  </si>
  <si>
    <t>Check all formating buttons</t>
  </si>
  <si>
    <t>All buttons should work correctly</t>
  </si>
  <si>
    <t>"Strong", "Ephasis", "Deleted", "Superscript", "Underscript" aren't working</t>
  </si>
  <si>
    <t>Settings page - Current User</t>
  </si>
  <si>
    <t>Test if Current User page is functioning correctly</t>
  </si>
  <si>
    <t>TC07</t>
  </si>
  <si>
    <t>First and Last name</t>
  </si>
  <si>
    <t>Numbers instead of letters</t>
  </si>
  <si>
    <t>Updated succesfully</t>
  </si>
  <si>
    <t>Leave them empty</t>
  </si>
  <si>
    <t>Email address</t>
  </si>
  <si>
    <t>Update correct email address</t>
  </si>
  <si>
    <t>Succesfull update</t>
  </si>
  <si>
    <t>It didn't allow me to change it.</t>
  </si>
  <si>
    <t>Phone number</t>
  </si>
  <si>
    <t>Phone number is updated</t>
  </si>
  <si>
    <t>Leave field empty</t>
  </si>
  <si>
    <t>Username</t>
  </si>
  <si>
    <t>Update username</t>
  </si>
  <si>
    <t>Succesfully updated username</t>
  </si>
  <si>
    <t>Password</t>
  </si>
  <si>
    <t>Update password</t>
  </si>
  <si>
    <t>Succesfully updated password</t>
  </si>
  <si>
    <t>Use incorrect password in the "retype password" field</t>
  </si>
  <si>
    <t>Calendar</t>
  </si>
  <si>
    <t>Change calendar field</t>
  </si>
  <si>
    <t>Updated calendar</t>
  </si>
  <si>
    <t>Calendar was updated</t>
  </si>
  <si>
    <t>Receive notifications button</t>
  </si>
  <si>
    <t>Turn on</t>
  </si>
  <si>
    <t>Turned on notifications</t>
  </si>
  <si>
    <t>Notifications are turned on</t>
  </si>
  <si>
    <t>Settings page - About Easy!Appointments</t>
  </si>
  <si>
    <t>Test if About Easy!Appointments page is functioning correctly</t>
  </si>
  <si>
    <t>TC08</t>
  </si>
  <si>
    <t>Visual issues</t>
  </si>
  <si>
    <t>No visual issues</t>
  </si>
  <si>
    <t>No visual issues found</t>
  </si>
  <si>
    <t>Social links</t>
  </si>
  <si>
    <t>1/30/2019,  1 minute</t>
  </si>
  <si>
    <t>Check if all of social links work properly</t>
  </si>
  <si>
    <t>Social links lead where they are meant to lead</t>
  </si>
  <si>
    <t>Social links are working properly</t>
  </si>
  <si>
    <t>Log out and log in</t>
  </si>
  <si>
    <t>Check if log out and log in functionality is working correctly</t>
  </si>
  <si>
    <t>TC09</t>
  </si>
  <si>
    <t>Log out button</t>
  </si>
  <si>
    <t>Click</t>
  </si>
  <si>
    <t>User is getting logget out</t>
  </si>
  <si>
    <t>Logged out</t>
  </si>
  <si>
    <t>Book appointment button</t>
  </si>
  <si>
    <t>Redirected to the booking page</t>
  </si>
  <si>
    <t>1/30/2019, 1 minutes</t>
  </si>
  <si>
    <t>Back end section button</t>
  </si>
  <si>
    <t>Redirected to the log in page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</si>
</sst>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_-&quot;$&quot;* #,##0.00_-;\-&quot;$&quot;* #,##0.00_-;_-&quot;$&quot;* &quot;-&quot;??_-;_-@_-"/>
    <numFmt numFmtId="165" formatCode="[$-409]d\-mmm;@"/>
    <numFmt numFmtId="166" formatCode="d\-mmm\-yyyy"/>
  </numFmts>
  <fonts count="43" x14ac:knownFonts="1">
    <font>
      <sz val="10"/>
      <name val="Arial"/>
    </font>
    <font>
      <sz val="8"/>
      <name val="Arial"/>
      <family val="2"/>
    </font>
    <font>
      <sz val="8"/>
      <color indexed="81"/>
      <name val="Tahoma"/>
      <family val="2"/>
    </font>
    <font>
      <b/>
      <sz val="8"/>
      <color indexed="81"/>
      <name val="Tahoma"/>
      <family val="2"/>
    </font>
    <font>
      <sz val="10"/>
      <name val="Arial"/>
      <family val="2"/>
    </font>
    <font>
      <b/>
      <sz val="12"/>
      <color indexed="8"/>
      <name val="Arial Bold"/>
    </font>
    <font>
      <b/>
      <sz val="12"/>
      <name val="Arial"/>
      <family val="2"/>
    </font>
    <font>
      <sz val="12"/>
      <name val="Arial"/>
      <family val="2"/>
    </font>
    <font>
      <b/>
      <sz val="12"/>
      <name val="Arial Bold"/>
    </font>
    <font>
      <sz val="10"/>
      <name val="Arial"/>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17"/>
      <name val="Calibri"/>
      <family val="2"/>
    </font>
    <font>
      <sz val="11"/>
      <color indexed="20"/>
      <name val="Calibri"/>
      <family val="2"/>
    </font>
    <font>
      <sz val="11"/>
      <color indexed="60"/>
      <name val="Calibri"/>
      <family val="2"/>
    </font>
    <font>
      <sz val="11"/>
      <color indexed="62"/>
      <name val="Calibri"/>
      <family val="2"/>
    </font>
    <font>
      <b/>
      <sz val="11"/>
      <color indexed="63"/>
      <name val="Calibri"/>
      <family val="2"/>
    </font>
    <font>
      <b/>
      <sz val="11"/>
      <color indexed="52"/>
      <name val="Calibri"/>
      <family val="2"/>
    </font>
    <font>
      <sz val="11"/>
      <color indexed="52"/>
      <name val="Calibri"/>
      <family val="2"/>
    </font>
    <font>
      <b/>
      <sz val="11"/>
      <color indexed="9"/>
      <name val="Calibri"/>
      <family val="2"/>
    </font>
    <font>
      <sz val="11"/>
      <color indexed="10"/>
      <name val="Calibri"/>
      <family val="2"/>
    </font>
    <font>
      <i/>
      <sz val="11"/>
      <color indexed="23"/>
      <name val="Calibri"/>
      <family val="2"/>
    </font>
    <font>
      <b/>
      <sz val="11"/>
      <color indexed="8"/>
      <name val="Calibri"/>
      <family val="2"/>
    </font>
    <font>
      <sz val="11"/>
      <color indexed="9"/>
      <name val="Calibri"/>
      <family val="2"/>
    </font>
    <font>
      <sz val="11"/>
      <color indexed="8"/>
      <name val="Calibri"/>
      <family val="2"/>
    </font>
    <font>
      <b/>
      <sz val="14"/>
      <color indexed="56"/>
      <name val="Arial"/>
      <family val="2"/>
    </font>
    <font>
      <b/>
      <sz val="10"/>
      <color indexed="56"/>
      <name val="Arial"/>
      <family val="2"/>
    </font>
    <font>
      <sz val="10"/>
      <name val="Arial"/>
      <family val="2"/>
    </font>
    <font>
      <b/>
      <sz val="10"/>
      <name val="Calibri"/>
      <family val="2"/>
    </font>
    <font>
      <b/>
      <sz val="14"/>
      <color indexed="56"/>
      <name val="Calibri"/>
      <family val="2"/>
    </font>
    <font>
      <b/>
      <sz val="10"/>
      <color indexed="56"/>
      <name val="Calibri"/>
      <family val="2"/>
    </font>
    <font>
      <sz val="10"/>
      <name val="Calibri"/>
      <family val="2"/>
    </font>
    <font>
      <b/>
      <sz val="14"/>
      <name val="Calibri"/>
      <family val="2"/>
    </font>
    <font>
      <sz val="14"/>
      <name val="Calibri"/>
      <family val="2"/>
    </font>
    <font>
      <b/>
      <i/>
      <u/>
      <sz val="10"/>
      <name val="Calibri"/>
      <family val="2"/>
    </font>
    <font>
      <u/>
      <sz val="10"/>
      <color theme="10"/>
      <name val="Arial"/>
      <family val="2"/>
    </font>
    <font>
      <sz val="10"/>
      <name val="Calibri"/>
      <family val="2"/>
      <scheme val="minor"/>
    </font>
    <font>
      <sz val="10"/>
      <name val="Arial"/>
      <family val="2"/>
    </font>
    <font>
      <b/>
      <sz val="11"/>
      <name val="Arial"/>
      <family val="2"/>
    </font>
    <font>
      <sz val="11"/>
      <color indexed="9"/>
      <name val="Arial"/>
      <family val="2"/>
    </font>
    <font>
      <sz val="10"/>
      <color theme="1"/>
      <name val="Calibri"/>
      <family val="2"/>
    </font>
  </fonts>
  <fills count="31">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57"/>
        <bgColor indexed="64"/>
      </patternFill>
    </fill>
    <fill>
      <patternFill patternType="solid">
        <fgColor indexed="19"/>
        <bgColor indexed="64"/>
      </patternFill>
    </fill>
    <fill>
      <patternFill patternType="solid">
        <fgColor indexed="22"/>
        <bgColor indexed="62"/>
      </patternFill>
    </fill>
    <fill>
      <patternFill patternType="solid">
        <fgColor indexed="19"/>
        <bgColor indexed="41"/>
      </patternFill>
    </fill>
    <fill>
      <patternFill patternType="solid">
        <fgColor theme="0"/>
        <bgColor indexed="64"/>
      </patternFill>
    </fill>
    <fill>
      <patternFill patternType="solid">
        <fgColor indexed="44"/>
        <bgColor indexed="64"/>
      </patternFill>
    </fill>
    <fill>
      <patternFill patternType="solid">
        <fgColor indexed="50"/>
        <bgColor indexed="64"/>
      </patternFill>
    </fill>
  </fills>
  <borders count="3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s>
  <cellStyleXfs count="46">
    <xf numFmtId="0" fontId="0" fillId="0" borderId="0"/>
    <xf numFmtId="0" fontId="26" fillId="2" borderId="0" applyNumberFormat="0" applyBorder="0" applyAlignment="0" applyProtection="0"/>
    <xf numFmtId="0" fontId="26" fillId="3" borderId="0" applyNumberFormat="0" applyBorder="0" applyAlignment="0" applyProtection="0"/>
    <xf numFmtId="0" fontId="26" fillId="4" borderId="0" applyNumberFormat="0" applyBorder="0" applyAlignment="0" applyProtection="0"/>
    <xf numFmtId="0" fontId="26" fillId="5" borderId="0" applyNumberFormat="0" applyBorder="0" applyAlignment="0" applyProtection="0"/>
    <xf numFmtId="0" fontId="26" fillId="6" borderId="0" applyNumberFormat="0" applyBorder="0" applyAlignment="0" applyProtection="0"/>
    <xf numFmtId="0" fontId="26" fillId="7" borderId="0" applyNumberFormat="0" applyBorder="0" applyAlignment="0" applyProtection="0"/>
    <xf numFmtId="0" fontId="26" fillId="8" borderId="0" applyNumberFormat="0" applyBorder="0" applyAlignment="0" applyProtection="0"/>
    <xf numFmtId="0" fontId="26" fillId="9" borderId="0" applyNumberFormat="0" applyBorder="0" applyAlignment="0" applyProtection="0"/>
    <xf numFmtId="0" fontId="26" fillId="10" borderId="0" applyNumberFormat="0" applyBorder="0" applyAlignment="0" applyProtection="0"/>
    <xf numFmtId="0" fontId="26" fillId="5" borderId="0" applyNumberFormat="0" applyBorder="0" applyAlignment="0" applyProtection="0"/>
    <xf numFmtId="0" fontId="26" fillId="8" borderId="0" applyNumberFormat="0" applyBorder="0" applyAlignment="0" applyProtection="0"/>
    <xf numFmtId="0" fontId="26" fillId="11" borderId="0" applyNumberFormat="0" applyBorder="0" applyAlignment="0" applyProtection="0"/>
    <xf numFmtId="0" fontId="25" fillId="12" borderId="0" applyNumberFormat="0" applyBorder="0" applyAlignment="0" applyProtection="0"/>
    <xf numFmtId="0" fontId="25" fillId="9" borderId="0" applyNumberFormat="0" applyBorder="0" applyAlignment="0" applyProtection="0"/>
    <xf numFmtId="0" fontId="25" fillId="10" borderId="0" applyNumberFormat="0" applyBorder="0" applyAlignment="0" applyProtection="0"/>
    <xf numFmtId="0" fontId="25" fillId="13" borderId="0" applyNumberFormat="0" applyBorder="0" applyAlignment="0" applyProtection="0"/>
    <xf numFmtId="0" fontId="25" fillId="14" borderId="0" applyNumberFormat="0" applyBorder="0" applyAlignment="0" applyProtection="0"/>
    <xf numFmtId="0" fontId="25" fillId="15" borderId="0" applyNumberFormat="0" applyBorder="0" applyAlignment="0" applyProtection="0"/>
    <xf numFmtId="0" fontId="25" fillId="16" borderId="0" applyNumberFormat="0" applyBorder="0" applyAlignment="0" applyProtection="0"/>
    <xf numFmtId="0" fontId="25" fillId="17" borderId="0" applyNumberFormat="0" applyBorder="0" applyAlignment="0" applyProtection="0"/>
    <xf numFmtId="0" fontId="25" fillId="18" borderId="0" applyNumberFormat="0" applyBorder="0" applyAlignment="0" applyProtection="0"/>
    <xf numFmtId="0" fontId="25" fillId="13" borderId="0" applyNumberFormat="0" applyBorder="0" applyAlignment="0" applyProtection="0"/>
    <xf numFmtId="0" fontId="25" fillId="14" borderId="0" applyNumberFormat="0" applyBorder="0" applyAlignment="0" applyProtection="0"/>
    <xf numFmtId="0" fontId="25" fillId="19" borderId="0" applyNumberFormat="0" applyBorder="0" applyAlignment="0" applyProtection="0"/>
    <xf numFmtId="0" fontId="15" fillId="3" borderId="0" applyNumberFormat="0" applyBorder="0" applyAlignment="0" applyProtection="0"/>
    <xf numFmtId="0" fontId="19" fillId="20" borderId="1" applyNumberFormat="0" applyAlignment="0" applyProtection="0"/>
    <xf numFmtId="0" fontId="21" fillId="21" borderId="2" applyNumberFormat="0" applyAlignment="0" applyProtection="0"/>
    <xf numFmtId="164" fontId="29" fillId="0" borderId="0" applyFont="0" applyFill="0" applyBorder="0" applyAlignment="0" applyProtection="0"/>
    <xf numFmtId="0" fontId="23" fillId="0" borderId="0" applyNumberFormat="0" applyFill="0" applyBorder="0" applyAlignment="0" applyProtection="0"/>
    <xf numFmtId="0" fontId="14" fillId="4" borderId="0" applyNumberFormat="0" applyBorder="0" applyAlignment="0" applyProtection="0"/>
    <xf numFmtId="0" fontId="11" fillId="0" borderId="3" applyNumberFormat="0" applyFill="0" applyAlignment="0" applyProtection="0"/>
    <xf numFmtId="0" fontId="12" fillId="0" borderId="4" applyNumberFormat="0" applyFill="0" applyAlignment="0" applyProtection="0"/>
    <xf numFmtId="0" fontId="13" fillId="0" borderId="5" applyNumberFormat="0" applyFill="0" applyAlignment="0" applyProtection="0"/>
    <xf numFmtId="0" fontId="13" fillId="0" borderId="0" applyNumberFormat="0" applyFill="0" applyBorder="0" applyAlignment="0" applyProtection="0"/>
    <xf numFmtId="0" fontId="37" fillId="0" borderId="0" applyNumberFormat="0" applyFill="0" applyBorder="0" applyAlignment="0" applyProtection="0"/>
    <xf numFmtId="0" fontId="17" fillId="7" borderId="1" applyNumberFormat="0" applyAlignment="0" applyProtection="0"/>
    <xf numFmtId="0" fontId="20" fillId="0" borderId="6" applyNumberFormat="0" applyFill="0" applyAlignment="0" applyProtection="0"/>
    <xf numFmtId="0" fontId="16" fillId="22" borderId="0" applyNumberFormat="0" applyBorder="0" applyAlignment="0" applyProtection="0"/>
    <xf numFmtId="0" fontId="9" fillId="23" borderId="7" applyNumberFormat="0" applyFont="0" applyAlignment="0" applyProtection="0"/>
    <xf numFmtId="0" fontId="18" fillId="20" borderId="8" applyNumberFormat="0" applyAlignment="0" applyProtection="0"/>
    <xf numFmtId="0" fontId="10" fillId="0" borderId="0" applyNumberFormat="0" applyFill="0" applyBorder="0" applyAlignment="0" applyProtection="0"/>
    <xf numFmtId="0" fontId="24" fillId="0" borderId="9" applyNumberFormat="0" applyFill="0" applyAlignment="0" applyProtection="0"/>
    <xf numFmtId="0" fontId="22" fillId="0" borderId="0" applyNumberFormat="0" applyFill="0" applyBorder="0" applyAlignment="0" applyProtection="0"/>
    <xf numFmtId="0" fontId="4" fillId="0" borderId="0"/>
    <xf numFmtId="44" fontId="39" fillId="0" borderId="0" applyFont="0" applyFill="0" applyBorder="0" applyAlignment="0" applyProtection="0"/>
  </cellStyleXfs>
  <cellXfs count="111">
    <xf numFmtId="0" fontId="0" fillId="0" borderId="0" xfId="0"/>
    <xf numFmtId="0" fontId="4" fillId="0" borderId="11" xfId="0" applyFont="1" applyBorder="1" applyAlignment="1" applyProtection="1">
      <alignment horizontal="center" vertical="top" wrapText="1"/>
      <protection locked="0"/>
    </xf>
    <xf numFmtId="0" fontId="4" fillId="0" borderId="10" xfId="0" applyFont="1" applyBorder="1" applyAlignment="1" applyProtection="1">
      <alignment vertical="top" wrapText="1"/>
      <protection locked="0"/>
    </xf>
    <xf numFmtId="0" fontId="30" fillId="24" borderId="12" xfId="0" applyFont="1" applyFill="1" applyBorder="1" applyAlignment="1">
      <alignment vertical="center"/>
    </xf>
    <xf numFmtId="0" fontId="33" fillId="0" borderId="0" xfId="0" applyFont="1" applyAlignment="1">
      <alignment vertical="center" wrapText="1"/>
    </xf>
    <xf numFmtId="0" fontId="33" fillId="0" borderId="0" xfId="0" applyFont="1" applyAlignment="1">
      <alignment vertical="center"/>
    </xf>
    <xf numFmtId="0" fontId="30" fillId="24" borderId="14" xfId="0" applyFont="1" applyFill="1" applyBorder="1" applyAlignment="1">
      <alignment vertical="center"/>
    </xf>
    <xf numFmtId="0" fontId="30" fillId="0" borderId="0" xfId="0" applyFont="1" applyAlignment="1">
      <alignment vertical="center" wrapText="1"/>
    </xf>
    <xf numFmtId="0" fontId="30" fillId="24" borderId="14" xfId="0" applyFont="1" applyFill="1" applyBorder="1" applyAlignment="1">
      <alignment horizontal="left" vertical="center" wrapText="1"/>
    </xf>
    <xf numFmtId="0" fontId="33" fillId="0" borderId="14" xfId="0" applyFont="1" applyBorder="1" applyAlignment="1">
      <alignment vertical="center" wrapText="1"/>
    </xf>
    <xf numFmtId="0" fontId="35" fillId="0" borderId="0" xfId="0" applyFont="1"/>
    <xf numFmtId="0" fontId="30" fillId="26" borderId="10" xfId="0" applyFont="1" applyFill="1" applyBorder="1" applyAlignment="1">
      <alignment vertical="center"/>
    </xf>
    <xf numFmtId="0" fontId="30" fillId="26" borderId="15" xfId="0" applyFont="1" applyFill="1" applyBorder="1" applyAlignment="1">
      <alignment vertical="center"/>
    </xf>
    <xf numFmtId="0" fontId="30" fillId="26" borderId="16" xfId="0" applyFont="1" applyFill="1" applyBorder="1" applyAlignment="1">
      <alignment vertical="center"/>
    </xf>
    <xf numFmtId="0" fontId="30" fillId="26" borderId="10" xfId="0" applyFont="1" applyFill="1" applyBorder="1" applyAlignment="1">
      <alignment vertical="center" wrapText="1"/>
    </xf>
    <xf numFmtId="0" fontId="30" fillId="0" borderId="0" xfId="0" applyFont="1" applyAlignment="1">
      <alignment vertical="center"/>
    </xf>
    <xf numFmtId="0" fontId="33" fillId="0" borderId="10" xfId="0" applyFont="1" applyBorder="1" applyAlignment="1" applyProtection="1">
      <alignment horizontal="center" vertical="top" wrapText="1"/>
    </xf>
    <xf numFmtId="0" fontId="33" fillId="0" borderId="10" xfId="0" applyFont="1" applyBorder="1" applyAlignment="1" applyProtection="1">
      <alignment horizontal="left" vertical="top" wrapText="1"/>
      <protection locked="0"/>
    </xf>
    <xf numFmtId="0" fontId="33" fillId="0" borderId="10" xfId="0" applyFont="1" applyBorder="1" applyAlignment="1" applyProtection="1">
      <alignment wrapText="1"/>
      <protection locked="0"/>
    </xf>
    <xf numFmtId="0" fontId="33" fillId="0" borderId="15" xfId="0" applyFont="1" applyBorder="1" applyAlignment="1" applyProtection="1">
      <alignment horizontal="left" vertical="top" wrapText="1"/>
      <protection locked="0"/>
    </xf>
    <xf numFmtId="0" fontId="33" fillId="0" borderId="16" xfId="0" applyFont="1" applyBorder="1" applyAlignment="1" applyProtection="1">
      <alignment vertical="top" wrapText="1"/>
      <protection locked="0"/>
    </xf>
    <xf numFmtId="0" fontId="33" fillId="0" borderId="0" xfId="0" applyFont="1" applyAlignment="1" applyProtection="1">
      <alignment horizontal="left" vertical="top" wrapText="1"/>
      <protection locked="0"/>
    </xf>
    <xf numFmtId="49" fontId="33" fillId="0" borderId="10" xfId="0" applyNumberFormat="1" applyFont="1" applyBorder="1" applyAlignment="1" applyProtection="1">
      <alignment vertical="top" wrapText="1"/>
      <protection locked="0"/>
    </xf>
    <xf numFmtId="0" fontId="33" fillId="0" borderId="10" xfId="0" applyFont="1" applyBorder="1" applyAlignment="1" applyProtection="1">
      <alignment vertical="top" wrapText="1"/>
      <protection locked="0"/>
    </xf>
    <xf numFmtId="0" fontId="33" fillId="0" borderId="0" xfId="0" applyFont="1" applyAlignment="1" applyProtection="1">
      <alignment vertical="top" wrapText="1"/>
      <protection locked="0"/>
    </xf>
    <xf numFmtId="0" fontId="33" fillId="0" borderId="0" xfId="0" applyFont="1" applyAlignment="1" applyProtection="1">
      <alignment wrapText="1"/>
      <protection locked="0"/>
    </xf>
    <xf numFmtId="0" fontId="33" fillId="0" borderId="15" xfId="0" applyFont="1" applyBorder="1" applyAlignment="1" applyProtection="1">
      <alignment vertical="top" wrapText="1"/>
      <protection locked="0"/>
    </xf>
    <xf numFmtId="0" fontId="33" fillId="0" borderId="0" xfId="0" applyFont="1" applyAlignment="1" applyProtection="1">
      <alignment vertical="top"/>
      <protection locked="0"/>
    </xf>
    <xf numFmtId="0" fontId="33" fillId="0" borderId="0" xfId="0" applyFont="1" applyProtection="1">
      <protection locked="0"/>
    </xf>
    <xf numFmtId="0" fontId="33" fillId="0" borderId="0" xfId="0" applyFont="1" applyAlignment="1">
      <alignment vertical="top"/>
    </xf>
    <xf numFmtId="0" fontId="33" fillId="0" borderId="0" xfId="0" applyFont="1"/>
    <xf numFmtId="0" fontId="33" fillId="0" borderId="16" xfId="0" applyFont="1" applyFill="1" applyBorder="1" applyAlignment="1" applyProtection="1">
      <alignment vertical="top" wrapText="1"/>
      <protection locked="0"/>
    </xf>
    <xf numFmtId="0" fontId="33" fillId="0" borderId="10" xfId="0" applyFont="1" applyFill="1" applyBorder="1" applyAlignment="1" applyProtection="1">
      <alignment horizontal="center" vertical="top" wrapText="1"/>
    </xf>
    <xf numFmtId="0" fontId="33" fillId="0" borderId="10" xfId="0" applyFont="1" applyFill="1" applyBorder="1" applyAlignment="1" applyProtection="1">
      <alignment horizontal="left" vertical="top" wrapText="1"/>
      <protection locked="0"/>
    </xf>
    <xf numFmtId="0" fontId="33" fillId="0" borderId="15" xfId="0" applyFont="1" applyFill="1" applyBorder="1" applyAlignment="1" applyProtection="1">
      <alignment horizontal="left" vertical="top" wrapText="1"/>
      <protection locked="0"/>
    </xf>
    <xf numFmtId="0" fontId="33" fillId="0" borderId="10" xfId="0" applyFont="1" applyFill="1" applyBorder="1" applyAlignment="1" applyProtection="1">
      <alignment vertical="top" wrapText="1"/>
      <protection locked="0"/>
    </xf>
    <xf numFmtId="0" fontId="33" fillId="0" borderId="15" xfId="0" applyFont="1" applyFill="1" applyBorder="1" applyAlignment="1" applyProtection="1">
      <alignment vertical="top" wrapText="1"/>
      <protection locked="0"/>
    </xf>
    <xf numFmtId="0" fontId="36" fillId="0" borderId="0" xfId="0" applyFont="1" applyProtection="1">
      <protection locked="0"/>
    </xf>
    <xf numFmtId="0" fontId="33" fillId="0" borderId="0" xfId="0" applyFont="1" applyAlignment="1" applyProtection="1">
      <alignment horizontal="center" vertical="top"/>
      <protection locked="0"/>
    </xf>
    <xf numFmtId="0" fontId="30" fillId="0" borderId="0" xfId="0" applyFont="1" applyProtection="1">
      <protection locked="0"/>
    </xf>
    <xf numFmtId="0" fontId="33" fillId="0" borderId="0" xfId="0" applyFont="1" applyFill="1" applyProtection="1">
      <protection locked="0"/>
    </xf>
    <xf numFmtId="16" fontId="33" fillId="0" borderId="0" xfId="0" applyNumberFormat="1" applyFont="1" applyProtection="1">
      <protection locked="0"/>
    </xf>
    <xf numFmtId="0" fontId="33" fillId="0" borderId="0" xfId="0" quotePrefix="1" applyFont="1" applyProtection="1">
      <protection locked="0"/>
    </xf>
    <xf numFmtId="164" fontId="33" fillId="0" borderId="0" xfId="28" applyFont="1" applyAlignment="1" applyProtection="1">
      <alignment vertical="top"/>
      <protection locked="0"/>
    </xf>
    <xf numFmtId="0" fontId="0" fillId="0" borderId="11" xfId="0" applyBorder="1" applyAlignment="1" applyProtection="1">
      <alignment vertical="top" wrapText="1"/>
      <protection locked="0"/>
    </xf>
    <xf numFmtId="0" fontId="0" fillId="0" borderId="10" xfId="0" applyBorder="1" applyAlignment="1" applyProtection="1">
      <alignment vertical="top" wrapText="1"/>
      <protection locked="0"/>
    </xf>
    <xf numFmtId="0" fontId="38" fillId="0" borderId="10" xfId="0" applyFont="1" applyBorder="1" applyAlignment="1" applyProtection="1">
      <alignment horizontal="left" vertical="top" wrapText="1"/>
      <protection locked="0"/>
    </xf>
    <xf numFmtId="0" fontId="38" fillId="0" borderId="0" xfId="0" applyFont="1" applyAlignment="1" applyProtection="1">
      <alignment wrapText="1"/>
      <protection locked="0"/>
    </xf>
    <xf numFmtId="0" fontId="38" fillId="0" borderId="10" xfId="0" applyFont="1" applyBorder="1"/>
    <xf numFmtId="0" fontId="33" fillId="28" borderId="16" xfId="0" applyFont="1" applyFill="1" applyBorder="1" applyAlignment="1" applyProtection="1">
      <alignment vertical="top" wrapText="1"/>
      <protection locked="0"/>
    </xf>
    <xf numFmtId="0" fontId="33" fillId="28" borderId="10" xfId="0" applyFont="1" applyFill="1" applyBorder="1" applyAlignment="1" applyProtection="1">
      <alignment vertical="top" wrapText="1"/>
      <protection locked="0"/>
    </xf>
    <xf numFmtId="0" fontId="6" fillId="24" borderId="12" xfId="44" applyFont="1" applyFill="1" applyBorder="1" applyAlignment="1">
      <alignment horizontal="left" vertical="center"/>
    </xf>
    <xf numFmtId="0" fontId="4" fillId="0" borderId="0" xfId="44" applyAlignment="1">
      <alignment vertical="center"/>
    </xf>
    <xf numFmtId="0" fontId="8" fillId="25" borderId="13" xfId="44" applyFont="1" applyFill="1" applyBorder="1" applyAlignment="1">
      <alignment horizontal="center" vertical="center" wrapText="1"/>
    </xf>
    <xf numFmtId="0" fontId="6" fillId="25" borderId="13" xfId="44" applyFont="1" applyFill="1" applyBorder="1" applyAlignment="1">
      <alignment horizontal="center" vertical="center" wrapText="1"/>
    </xf>
    <xf numFmtId="0" fontId="5" fillId="25" borderId="13" xfId="44" applyFont="1" applyFill="1" applyBorder="1" applyAlignment="1">
      <alignment horizontal="center" vertical="center" wrapText="1"/>
    </xf>
    <xf numFmtId="0" fontId="6" fillId="25" borderId="13" xfId="44" applyFont="1" applyFill="1" applyBorder="1" applyAlignment="1">
      <alignment horizontal="center" vertical="center"/>
    </xf>
    <xf numFmtId="0" fontId="7" fillId="0" borderId="0" xfId="44" applyFont="1" applyAlignment="1">
      <alignment horizontal="center" vertical="center"/>
    </xf>
    <xf numFmtId="0" fontId="4" fillId="0" borderId="11" xfId="44" applyBorder="1" applyAlignment="1" applyProtection="1">
      <alignment wrapText="1"/>
      <protection locked="0"/>
    </xf>
    <xf numFmtId="0" fontId="4" fillId="0" borderId="11" xfId="44" applyFont="1" applyBorder="1" applyAlignment="1">
      <alignment horizontal="center" vertical="top" wrapText="1"/>
    </xf>
    <xf numFmtId="0" fontId="4" fillId="0" borderId="11" xfId="44" applyFont="1" applyBorder="1" applyAlignment="1" applyProtection="1">
      <alignment vertical="top" wrapText="1"/>
      <protection locked="0"/>
    </xf>
    <xf numFmtId="0" fontId="4" fillId="0" borderId="0" xfId="44"/>
    <xf numFmtId="0" fontId="4" fillId="0" borderId="10" xfId="44" applyBorder="1" applyAlignment="1" applyProtection="1">
      <alignment wrapText="1"/>
      <protection locked="0"/>
    </xf>
    <xf numFmtId="0" fontId="4" fillId="0" borderId="10" xfId="44" applyFont="1" applyBorder="1" applyAlignment="1">
      <alignment horizontal="center" vertical="top" wrapText="1"/>
    </xf>
    <xf numFmtId="0" fontId="4" fillId="0" borderId="10" xfId="44" applyFont="1" applyBorder="1" applyAlignment="1" applyProtection="1">
      <alignment vertical="top" wrapText="1"/>
      <protection locked="0"/>
    </xf>
    <xf numFmtId="0" fontId="4" fillId="0" borderId="0" xfId="44" applyProtection="1">
      <protection locked="0"/>
    </xf>
    <xf numFmtId="0" fontId="4" fillId="0" borderId="0" xfId="44" applyAlignment="1">
      <alignment horizontal="center"/>
    </xf>
    <xf numFmtId="0" fontId="4" fillId="0" borderId="0" xfId="44" applyAlignment="1">
      <alignment wrapText="1"/>
    </xf>
    <xf numFmtId="0" fontId="0" fillId="0" borderId="0" xfId="0" applyAlignment="1">
      <alignment horizontal="center"/>
    </xf>
    <xf numFmtId="0" fontId="41" fillId="0" borderId="0" xfId="0" applyFont="1" applyBorder="1" applyAlignment="1">
      <alignment horizontal="center" vertical="top" wrapText="1"/>
    </xf>
    <xf numFmtId="0" fontId="40" fillId="30" borderId="29" xfId="0" applyFont="1" applyFill="1" applyBorder="1" applyAlignment="1">
      <alignment horizontal="center" vertical="top" wrapText="1"/>
    </xf>
    <xf numFmtId="166" fontId="40" fillId="30" borderId="10" xfId="0" applyNumberFormat="1" applyFont="1" applyFill="1" applyBorder="1" applyAlignment="1">
      <alignment horizontal="center" vertical="top" wrapText="1"/>
    </xf>
    <xf numFmtId="0" fontId="40" fillId="30" borderId="10" xfId="0" applyFont="1" applyFill="1" applyBorder="1" applyAlignment="1">
      <alignment horizontal="center" vertical="top" wrapText="1"/>
    </xf>
    <xf numFmtId="0" fontId="40" fillId="30" borderId="15" xfId="0" applyFont="1" applyFill="1" applyBorder="1" applyAlignment="1">
      <alignment horizontal="center" vertical="top" wrapText="1"/>
    </xf>
    <xf numFmtId="0" fontId="0" fillId="0" borderId="10" xfId="0" applyBorder="1"/>
    <xf numFmtId="0" fontId="0" fillId="0" borderId="10" xfId="0" applyBorder="1" applyAlignment="1">
      <alignment horizontal="center"/>
    </xf>
    <xf numFmtId="0" fontId="27" fillId="0" borderId="17" xfId="0" applyFont="1" applyBorder="1" applyAlignment="1" applyProtection="1">
      <alignment vertical="center"/>
      <protection locked="0"/>
    </xf>
    <xf numFmtId="0" fontId="27" fillId="0" borderId="18" xfId="0" applyFont="1" applyBorder="1" applyAlignment="1" applyProtection="1">
      <alignment vertical="center"/>
      <protection locked="0"/>
    </xf>
    <xf numFmtId="0" fontId="28" fillId="0" borderId="18" xfId="0" applyFont="1" applyBorder="1" applyAlignment="1" applyProtection="1">
      <alignment vertical="center"/>
      <protection locked="0"/>
    </xf>
    <xf numFmtId="0" fontId="28" fillId="0" borderId="19" xfId="0" applyFont="1" applyBorder="1" applyAlignment="1" applyProtection="1">
      <alignment vertical="center"/>
      <protection locked="0"/>
    </xf>
    <xf numFmtId="0" fontId="27" fillId="0" borderId="20" xfId="0" applyFont="1" applyBorder="1" applyAlignment="1" applyProtection="1">
      <alignment vertical="center"/>
      <protection locked="0"/>
    </xf>
    <xf numFmtId="0" fontId="27" fillId="0" borderId="21" xfId="0" applyFont="1" applyBorder="1" applyAlignment="1" applyProtection="1">
      <alignment vertical="center"/>
      <protection locked="0"/>
    </xf>
    <xf numFmtId="0" fontId="28" fillId="0" borderId="21" xfId="0" applyFont="1" applyBorder="1" applyAlignment="1" applyProtection="1">
      <alignment vertical="center"/>
      <protection locked="0"/>
    </xf>
    <xf numFmtId="0" fontId="28" fillId="0" borderId="22" xfId="0" applyFont="1" applyBorder="1" applyAlignment="1" applyProtection="1">
      <alignment vertical="center"/>
      <protection locked="0"/>
    </xf>
    <xf numFmtId="0" fontId="34" fillId="27" borderId="23" xfId="0" applyFont="1" applyFill="1" applyBorder="1" applyAlignment="1">
      <alignment horizontal="center" vertical="top"/>
    </xf>
    <xf numFmtId="0" fontId="34" fillId="27" borderId="24" xfId="0" applyFont="1" applyFill="1" applyBorder="1" applyAlignment="1">
      <alignment horizontal="center"/>
    </xf>
    <xf numFmtId="0" fontId="35" fillId="27" borderId="25" xfId="0" applyFont="1" applyFill="1" applyBorder="1" applyAlignment="1"/>
    <xf numFmtId="0" fontId="34" fillId="25" borderId="24" xfId="0" applyFont="1" applyFill="1" applyBorder="1" applyAlignment="1">
      <alignment horizontal="center" vertical="top"/>
    </xf>
    <xf numFmtId="0" fontId="35" fillId="25" borderId="24" xfId="0" applyFont="1" applyFill="1" applyBorder="1" applyAlignment="1">
      <alignment horizontal="center"/>
    </xf>
    <xf numFmtId="0" fontId="35" fillId="25" borderId="16" xfId="0" applyFont="1" applyFill="1" applyBorder="1" applyAlignment="1">
      <alignment horizontal="center"/>
    </xf>
    <xf numFmtId="0" fontId="31" fillId="0" borderId="20" xfId="0" applyFont="1" applyBorder="1" applyAlignment="1" applyProtection="1">
      <alignment vertical="center"/>
      <protection locked="0"/>
    </xf>
    <xf numFmtId="0" fontId="31" fillId="0" borderId="21" xfId="0" applyFont="1" applyBorder="1" applyAlignment="1" applyProtection="1">
      <alignment vertical="center"/>
      <protection locked="0"/>
    </xf>
    <xf numFmtId="0" fontId="32" fillId="0" borderId="21" xfId="0" applyFont="1" applyBorder="1" applyAlignment="1" applyProtection="1">
      <alignment vertical="center"/>
      <protection locked="0"/>
    </xf>
    <xf numFmtId="0" fontId="30" fillId="0" borderId="0" xfId="0" applyFont="1" applyBorder="1" applyAlignment="1">
      <alignment horizontal="left" vertical="center" wrapText="1"/>
    </xf>
    <xf numFmtId="0" fontId="30" fillId="0" borderId="0" xfId="0" applyFont="1" applyAlignment="1">
      <alignment horizontal="left" vertical="center" wrapText="1"/>
    </xf>
    <xf numFmtId="0" fontId="30" fillId="0" borderId="14" xfId="0" applyFont="1" applyBorder="1" applyAlignment="1">
      <alignment vertical="top" wrapText="1"/>
    </xf>
    <xf numFmtId="0" fontId="30" fillId="0" borderId="14" xfId="0" applyFont="1" applyBorder="1" applyAlignment="1">
      <alignment wrapText="1"/>
    </xf>
    <xf numFmtId="0" fontId="33" fillId="0" borderId="0" xfId="0" applyFont="1" applyAlignment="1">
      <alignment horizontal="left" vertical="center" wrapText="1"/>
    </xf>
    <xf numFmtId="0" fontId="33" fillId="0" borderId="14" xfId="0" applyFont="1" applyBorder="1" applyAlignment="1">
      <alignment vertical="top" wrapText="1"/>
    </xf>
    <xf numFmtId="0" fontId="33" fillId="0" borderId="14" xfId="0" applyFont="1" applyBorder="1" applyAlignment="1">
      <alignment wrapText="1"/>
    </xf>
    <xf numFmtId="0" fontId="30" fillId="27" borderId="23" xfId="0" applyFont="1" applyFill="1" applyBorder="1" applyAlignment="1">
      <alignment horizontal="center" vertical="top"/>
    </xf>
    <xf numFmtId="0" fontId="30" fillId="27" borderId="24" xfId="0" applyFont="1" applyFill="1" applyBorder="1" applyAlignment="1">
      <alignment horizontal="center"/>
    </xf>
    <xf numFmtId="0" fontId="33" fillId="27" borderId="25" xfId="0" applyFont="1" applyFill="1" applyBorder="1" applyAlignment="1"/>
    <xf numFmtId="0" fontId="30" fillId="25" borderId="24" xfId="0" applyFont="1" applyFill="1" applyBorder="1" applyAlignment="1">
      <alignment horizontal="center" vertical="top"/>
    </xf>
    <xf numFmtId="0" fontId="33" fillId="25" borderId="24" xfId="0" applyFont="1" applyFill="1" applyBorder="1" applyAlignment="1">
      <alignment horizontal="center"/>
    </xf>
    <xf numFmtId="0" fontId="33" fillId="25" borderId="16" xfId="0" applyFont="1" applyFill="1" applyBorder="1" applyAlignment="1">
      <alignment horizontal="center"/>
    </xf>
    <xf numFmtId="44" fontId="40" fillId="29" borderId="26" xfId="45" applyFont="1" applyFill="1" applyBorder="1" applyAlignment="1">
      <alignment horizontal="center" vertical="top" wrapText="1"/>
    </xf>
    <xf numFmtId="165" fontId="40" fillId="29" borderId="27" xfId="45" applyNumberFormat="1" applyFont="1" applyFill="1" applyBorder="1" applyAlignment="1">
      <alignment horizontal="center" vertical="top" wrapText="1"/>
    </xf>
    <xf numFmtId="44" fontId="40" fillId="29" borderId="27" xfId="45" applyFont="1" applyFill="1" applyBorder="1" applyAlignment="1">
      <alignment horizontal="center" vertical="top" wrapText="1"/>
    </xf>
    <xf numFmtId="44" fontId="40" fillId="29" borderId="28" xfId="45" applyFont="1" applyFill="1" applyBorder="1" applyAlignment="1">
      <alignment horizontal="center" vertical="top" wrapText="1"/>
    </xf>
    <xf numFmtId="0" fontId="42" fillId="0" borderId="10" xfId="35" applyFont="1" applyBorder="1" applyAlignment="1" applyProtection="1">
      <alignment wrapText="1"/>
      <protection locked="0"/>
    </xf>
  </cellXfs>
  <cellStyles count="46">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urrency" xfId="28" builtinId="4"/>
    <cellStyle name="Currency 2" xfId="45" xr:uid="{00000000-0005-0000-0000-00001C000000}"/>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35" builtinId="8"/>
    <cellStyle name="Input" xfId="36" builtinId="20" customBuiltin="1"/>
    <cellStyle name="Linked Cell" xfId="37" builtinId="24" customBuiltin="1"/>
    <cellStyle name="Neutral" xfId="38" builtinId="28" customBuiltin="1"/>
    <cellStyle name="Normal" xfId="0" builtinId="0"/>
    <cellStyle name="Normal 2" xfId="44" xr:uid="{00000000-0005-0000-0000-000028000000}"/>
    <cellStyle name="Note" xfId="39" builtinId="10" customBuiltin="1"/>
    <cellStyle name="Output" xfId="40" builtinId="21" customBuiltin="1"/>
    <cellStyle name="Title" xfId="41" builtinId="15" customBuiltin="1"/>
    <cellStyle name="Total" xfId="42" builtinId="25" customBuiltin="1"/>
    <cellStyle name="Warning Text" xfId="43"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4.emf"/><Relationship Id="rId13" Type="http://schemas.openxmlformats.org/officeDocument/2006/relationships/image" Target="../media/image7.emf"/><Relationship Id="rId18" Type="http://schemas.openxmlformats.org/officeDocument/2006/relationships/hyperlink" Target="#'TC08'!A1"/><Relationship Id="rId3" Type="http://schemas.openxmlformats.org/officeDocument/2006/relationships/hyperlink" Target="#'TC02'!A1"/><Relationship Id="rId7" Type="http://schemas.openxmlformats.org/officeDocument/2006/relationships/hyperlink" Target="#'TC04'!A1"/><Relationship Id="rId12" Type="http://schemas.openxmlformats.org/officeDocument/2006/relationships/image" Target="../media/image6.emf"/><Relationship Id="rId17" Type="http://schemas.openxmlformats.org/officeDocument/2006/relationships/hyperlink" Target="#'TC14'!A1"/><Relationship Id="rId2" Type="http://schemas.openxmlformats.org/officeDocument/2006/relationships/image" Target="../media/image1.emf"/><Relationship Id="rId16" Type="http://schemas.openxmlformats.org/officeDocument/2006/relationships/hyperlink" Target="#'TC07'!A1"/><Relationship Id="rId20" Type="http://schemas.openxmlformats.org/officeDocument/2006/relationships/hyperlink" Target="#'TC10'!A1"/><Relationship Id="rId1" Type="http://schemas.openxmlformats.org/officeDocument/2006/relationships/hyperlink" Target="#'TC01'!A1"/><Relationship Id="rId6" Type="http://schemas.openxmlformats.org/officeDocument/2006/relationships/image" Target="../media/image3.emf"/><Relationship Id="rId11" Type="http://schemas.openxmlformats.org/officeDocument/2006/relationships/hyperlink" Target="#'TC06'!A1"/><Relationship Id="rId5" Type="http://schemas.openxmlformats.org/officeDocument/2006/relationships/hyperlink" Target="#'TC03'!A1"/><Relationship Id="rId15" Type="http://schemas.openxmlformats.org/officeDocument/2006/relationships/hyperlink" Target="#'TC15'!A1"/><Relationship Id="rId10" Type="http://schemas.openxmlformats.org/officeDocument/2006/relationships/image" Target="../media/image5.emf"/><Relationship Id="rId19" Type="http://schemas.openxmlformats.org/officeDocument/2006/relationships/hyperlink" Target="#'TC09'!A1"/><Relationship Id="rId4" Type="http://schemas.openxmlformats.org/officeDocument/2006/relationships/image" Target="../media/image2.emf"/><Relationship Id="rId9" Type="http://schemas.openxmlformats.org/officeDocument/2006/relationships/hyperlink" Target="#'TC05'!A1"/><Relationship Id="rId14" Type="http://schemas.openxmlformats.org/officeDocument/2006/relationships/image" Target="../media/image8.emf"/></Relationships>
</file>

<file path=xl/drawings/_rels/drawing2.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hyperlink" Target="#'List of Tests'!A1"/></Relationships>
</file>

<file path=xl/drawings/_rels/drawing3.x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hyperlink" Target="#'List of Tests'!A1"/></Relationships>
</file>

<file path=xl/drawings/_rels/drawing4.x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hyperlink" Target="#'List of Tests'!A1"/></Relationships>
</file>

<file path=xl/drawings/_rels/drawing5.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hyperlink" Target="#'List of Tests'!A1"/></Relationships>
</file>

<file path=xl/drawings/_rels/drawing6.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hyperlink" Target="#'List of Tests'!A1"/></Relationships>
</file>

<file path=xl/drawings/_rels/drawing7.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hyperlink" Target="#'List of Tests'!A1"/></Relationships>
</file>

<file path=xl/drawings/_rels/drawing8.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hyperlink" Target="#'List of Tests'!A1"/></Relationships>
</file>

<file path=xl/drawings/_rels/drawing9.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hyperlink" Target="#'List of Tests'!A1"/></Relationships>
</file>

<file path=xl/drawings/_rels/drawing10.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hyperlink" Target="#'List of Tests'!A1"/></Relationships>
</file>

<file path=xl/drawings/_rels/drawing11.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hyperlink" Target="#'List of Tests'!A1"/></Relationships>
</file>

<file path=xl/drawings/drawing1.xml><?xml version="1.0" encoding="utf-8"?>
<xdr:wsDr xmlns:xdr="http://schemas.openxmlformats.org/drawingml/2006/spreadsheetDrawing" xmlns:a="http://schemas.openxmlformats.org/drawingml/2006/main">
  <xdr:twoCellAnchor editAs="oneCell">
    <xdr:from>
      <xdr:col>3</xdr:col>
      <xdr:colOff>28575</xdr:colOff>
      <xdr:row>3</xdr:row>
      <xdr:rowOff>28575</xdr:rowOff>
    </xdr:from>
    <xdr:to>
      <xdr:col>3</xdr:col>
      <xdr:colOff>247650</xdr:colOff>
      <xdr:row>3</xdr:row>
      <xdr:rowOff>186690</xdr:rowOff>
    </xdr:to>
    <xdr:pic>
      <xdr:nvPicPr>
        <xdr:cNvPr id="2" name="CommandButton1">
          <a:hlinkClick xmlns:r="http://schemas.openxmlformats.org/officeDocument/2006/relationships" r:id="rId1"/>
          <a:extLst>
            <a:ext uri="{FF2B5EF4-FFF2-40B4-BE49-F238E27FC236}">
              <a16:creationId xmlns:a16="http://schemas.microsoft.com/office/drawing/2014/main" id="{00000000-0008-0000-0000-000002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305550" y="9048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4</xdr:row>
      <xdr:rowOff>28575</xdr:rowOff>
    </xdr:from>
    <xdr:to>
      <xdr:col>3</xdr:col>
      <xdr:colOff>247650</xdr:colOff>
      <xdr:row>4</xdr:row>
      <xdr:rowOff>186690</xdr:rowOff>
    </xdr:to>
    <xdr:pic>
      <xdr:nvPicPr>
        <xdr:cNvPr id="3" name="CommandButton2">
          <a:hlinkClick xmlns:r="http://schemas.openxmlformats.org/officeDocument/2006/relationships" r:id="rId3"/>
          <a:extLst>
            <a:ext uri="{FF2B5EF4-FFF2-40B4-BE49-F238E27FC236}">
              <a16:creationId xmlns:a16="http://schemas.microsoft.com/office/drawing/2014/main" id="{00000000-0008-0000-0000-000003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305550" y="10668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11</xdr:row>
      <xdr:rowOff>28575</xdr:rowOff>
    </xdr:from>
    <xdr:to>
      <xdr:col>3</xdr:col>
      <xdr:colOff>247650</xdr:colOff>
      <xdr:row>11</xdr:row>
      <xdr:rowOff>186690</xdr:rowOff>
    </xdr:to>
    <xdr:pic>
      <xdr:nvPicPr>
        <xdr:cNvPr id="4" name="CommandButton3">
          <a:hlinkClick xmlns:r="http://schemas.openxmlformats.org/officeDocument/2006/relationships" r:id="rId5"/>
          <a:extLst>
            <a:ext uri="{FF2B5EF4-FFF2-40B4-BE49-F238E27FC236}">
              <a16:creationId xmlns:a16="http://schemas.microsoft.com/office/drawing/2014/main" id="{00000000-0008-0000-0000-000004000000}"/>
            </a:ext>
          </a:extLst>
        </xdr:cNvPr>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305550" y="12287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12</xdr:row>
      <xdr:rowOff>28575</xdr:rowOff>
    </xdr:from>
    <xdr:to>
      <xdr:col>3</xdr:col>
      <xdr:colOff>247650</xdr:colOff>
      <xdr:row>13</xdr:row>
      <xdr:rowOff>19050</xdr:rowOff>
    </xdr:to>
    <xdr:pic>
      <xdr:nvPicPr>
        <xdr:cNvPr id="5" name="CommandButton4">
          <a:hlinkClick xmlns:r="http://schemas.openxmlformats.org/officeDocument/2006/relationships" r:id="rId7"/>
          <a:extLst>
            <a:ext uri="{FF2B5EF4-FFF2-40B4-BE49-F238E27FC236}">
              <a16:creationId xmlns:a16="http://schemas.microsoft.com/office/drawing/2014/main" id="{00000000-0008-0000-0000-000005000000}"/>
            </a:ext>
          </a:extLst>
        </xdr:cNvPr>
        <xdr:cNvPicPr preferRelativeResize="0">
          <a:picLocks noChangeArrowheads="1" noChangeShapeType="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305550" y="15525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13</xdr:row>
      <xdr:rowOff>0</xdr:rowOff>
    </xdr:from>
    <xdr:to>
      <xdr:col>3</xdr:col>
      <xdr:colOff>247650</xdr:colOff>
      <xdr:row>13</xdr:row>
      <xdr:rowOff>152400</xdr:rowOff>
    </xdr:to>
    <xdr:pic>
      <xdr:nvPicPr>
        <xdr:cNvPr id="6" name="CommandButton5">
          <a:hlinkClick xmlns:r="http://schemas.openxmlformats.org/officeDocument/2006/relationships" r:id="rId9"/>
          <a:extLst>
            <a:ext uri="{FF2B5EF4-FFF2-40B4-BE49-F238E27FC236}">
              <a16:creationId xmlns:a16="http://schemas.microsoft.com/office/drawing/2014/main" id="{00000000-0008-0000-0000-000006000000}"/>
            </a:ext>
          </a:extLst>
        </xdr:cNvPr>
        <xdr:cNvPicPr preferRelativeResize="0">
          <a:picLocks noChangeArrowheads="1" noChangeShapeType="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305550" y="17145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13</xdr:row>
      <xdr:rowOff>0</xdr:rowOff>
    </xdr:from>
    <xdr:to>
      <xdr:col>3</xdr:col>
      <xdr:colOff>247650</xdr:colOff>
      <xdr:row>13</xdr:row>
      <xdr:rowOff>152400</xdr:rowOff>
    </xdr:to>
    <xdr:pic>
      <xdr:nvPicPr>
        <xdr:cNvPr id="7" name="CommandButton6">
          <a:hlinkClick xmlns:r="http://schemas.openxmlformats.org/officeDocument/2006/relationships" r:id="rId11"/>
          <a:extLst>
            <a:ext uri="{FF2B5EF4-FFF2-40B4-BE49-F238E27FC236}">
              <a16:creationId xmlns:a16="http://schemas.microsoft.com/office/drawing/2014/main" id="{00000000-0008-0000-0000-000007000000}"/>
            </a:ext>
          </a:extLst>
        </xdr:cNvPr>
        <xdr:cNvPicPr preferRelativeResize="0">
          <a:picLocks noChangeArrowheads="1" noChangeShapeType="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305550" y="18764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6</xdr:row>
      <xdr:rowOff>28575</xdr:rowOff>
    </xdr:from>
    <xdr:to>
      <xdr:col>3</xdr:col>
      <xdr:colOff>247650</xdr:colOff>
      <xdr:row>6</xdr:row>
      <xdr:rowOff>186690</xdr:rowOff>
    </xdr:to>
    <xdr:pic>
      <xdr:nvPicPr>
        <xdr:cNvPr id="11" name="CommandButton10">
          <a:extLst>
            <a:ext uri="{FF2B5EF4-FFF2-40B4-BE49-F238E27FC236}">
              <a16:creationId xmlns:a16="http://schemas.microsoft.com/office/drawing/2014/main" id="{00000000-0008-0000-0000-00000B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26860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6</xdr:row>
      <xdr:rowOff>28575</xdr:rowOff>
    </xdr:from>
    <xdr:to>
      <xdr:col>3</xdr:col>
      <xdr:colOff>247650</xdr:colOff>
      <xdr:row>6</xdr:row>
      <xdr:rowOff>186690</xdr:rowOff>
    </xdr:to>
    <xdr:pic>
      <xdr:nvPicPr>
        <xdr:cNvPr id="12" name="CommandButton9">
          <a:hlinkClick xmlns:r="http://schemas.openxmlformats.org/officeDocument/2006/relationships" r:id="rId7"/>
          <a:extLst>
            <a:ext uri="{FF2B5EF4-FFF2-40B4-BE49-F238E27FC236}">
              <a16:creationId xmlns:a16="http://schemas.microsoft.com/office/drawing/2014/main" id="{00000000-0008-0000-0000-00000C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305550" y="25241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7</xdr:row>
      <xdr:rowOff>28575</xdr:rowOff>
    </xdr:from>
    <xdr:to>
      <xdr:col>3</xdr:col>
      <xdr:colOff>247650</xdr:colOff>
      <xdr:row>7</xdr:row>
      <xdr:rowOff>186690</xdr:rowOff>
    </xdr:to>
    <xdr:pic>
      <xdr:nvPicPr>
        <xdr:cNvPr id="13" name="CommandButton10">
          <a:extLst>
            <a:ext uri="{FF2B5EF4-FFF2-40B4-BE49-F238E27FC236}">
              <a16:creationId xmlns:a16="http://schemas.microsoft.com/office/drawing/2014/main" id="{00000000-0008-0000-0000-00000D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26860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7</xdr:row>
      <xdr:rowOff>28575</xdr:rowOff>
    </xdr:from>
    <xdr:to>
      <xdr:col>3</xdr:col>
      <xdr:colOff>247650</xdr:colOff>
      <xdr:row>7</xdr:row>
      <xdr:rowOff>186690</xdr:rowOff>
    </xdr:to>
    <xdr:pic>
      <xdr:nvPicPr>
        <xdr:cNvPr id="14" name="CommandButton10">
          <a:extLst>
            <a:ext uri="{FF2B5EF4-FFF2-40B4-BE49-F238E27FC236}">
              <a16:creationId xmlns:a16="http://schemas.microsoft.com/office/drawing/2014/main" id="{00000000-0008-0000-0000-00000E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26860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7</xdr:row>
      <xdr:rowOff>28575</xdr:rowOff>
    </xdr:from>
    <xdr:to>
      <xdr:col>3</xdr:col>
      <xdr:colOff>247650</xdr:colOff>
      <xdr:row>7</xdr:row>
      <xdr:rowOff>186690</xdr:rowOff>
    </xdr:to>
    <xdr:pic>
      <xdr:nvPicPr>
        <xdr:cNvPr id="15" name="CommandButton9">
          <a:extLst>
            <a:ext uri="{FF2B5EF4-FFF2-40B4-BE49-F238E27FC236}">
              <a16:creationId xmlns:a16="http://schemas.microsoft.com/office/drawing/2014/main" id="{00000000-0008-0000-0000-00000F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305550" y="26860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8</xdr:row>
      <xdr:rowOff>28575</xdr:rowOff>
    </xdr:from>
    <xdr:to>
      <xdr:col>3</xdr:col>
      <xdr:colOff>247650</xdr:colOff>
      <xdr:row>8</xdr:row>
      <xdr:rowOff>186690</xdr:rowOff>
    </xdr:to>
    <xdr:pic>
      <xdr:nvPicPr>
        <xdr:cNvPr id="16" name="CommandButton10">
          <a:extLst>
            <a:ext uri="{FF2B5EF4-FFF2-40B4-BE49-F238E27FC236}">
              <a16:creationId xmlns:a16="http://schemas.microsoft.com/office/drawing/2014/main" id="{00000000-0008-0000-0000-000010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28479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8</xdr:row>
      <xdr:rowOff>28575</xdr:rowOff>
    </xdr:from>
    <xdr:to>
      <xdr:col>3</xdr:col>
      <xdr:colOff>247650</xdr:colOff>
      <xdr:row>8</xdr:row>
      <xdr:rowOff>186690</xdr:rowOff>
    </xdr:to>
    <xdr:pic>
      <xdr:nvPicPr>
        <xdr:cNvPr id="17" name="CommandButton10">
          <a:extLst>
            <a:ext uri="{FF2B5EF4-FFF2-40B4-BE49-F238E27FC236}">
              <a16:creationId xmlns:a16="http://schemas.microsoft.com/office/drawing/2014/main" id="{00000000-0008-0000-0000-000011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26860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8</xdr:row>
      <xdr:rowOff>28575</xdr:rowOff>
    </xdr:from>
    <xdr:to>
      <xdr:col>3</xdr:col>
      <xdr:colOff>247650</xdr:colOff>
      <xdr:row>8</xdr:row>
      <xdr:rowOff>186690</xdr:rowOff>
    </xdr:to>
    <xdr:pic>
      <xdr:nvPicPr>
        <xdr:cNvPr id="18" name="CommandButton9">
          <a:extLst>
            <a:ext uri="{FF2B5EF4-FFF2-40B4-BE49-F238E27FC236}">
              <a16:creationId xmlns:a16="http://schemas.microsoft.com/office/drawing/2014/main" id="{00000000-0008-0000-0000-000012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305550" y="26860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9</xdr:row>
      <xdr:rowOff>28575</xdr:rowOff>
    </xdr:from>
    <xdr:to>
      <xdr:col>3</xdr:col>
      <xdr:colOff>247650</xdr:colOff>
      <xdr:row>9</xdr:row>
      <xdr:rowOff>186690</xdr:rowOff>
    </xdr:to>
    <xdr:pic>
      <xdr:nvPicPr>
        <xdr:cNvPr id="19" name="CommandButton10">
          <a:extLst>
            <a:ext uri="{FF2B5EF4-FFF2-40B4-BE49-F238E27FC236}">
              <a16:creationId xmlns:a16="http://schemas.microsoft.com/office/drawing/2014/main" id="{00000000-0008-0000-0000-000013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28479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9</xdr:row>
      <xdr:rowOff>28575</xdr:rowOff>
    </xdr:from>
    <xdr:to>
      <xdr:col>3</xdr:col>
      <xdr:colOff>247650</xdr:colOff>
      <xdr:row>9</xdr:row>
      <xdr:rowOff>186690</xdr:rowOff>
    </xdr:to>
    <xdr:pic>
      <xdr:nvPicPr>
        <xdr:cNvPr id="20" name="CommandButton10">
          <a:extLst>
            <a:ext uri="{FF2B5EF4-FFF2-40B4-BE49-F238E27FC236}">
              <a16:creationId xmlns:a16="http://schemas.microsoft.com/office/drawing/2014/main" id="{00000000-0008-0000-0000-000014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28479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9</xdr:row>
      <xdr:rowOff>28575</xdr:rowOff>
    </xdr:from>
    <xdr:to>
      <xdr:col>3</xdr:col>
      <xdr:colOff>247650</xdr:colOff>
      <xdr:row>9</xdr:row>
      <xdr:rowOff>186690</xdr:rowOff>
    </xdr:to>
    <xdr:pic>
      <xdr:nvPicPr>
        <xdr:cNvPr id="21" name="CommandButton9">
          <a:extLst>
            <a:ext uri="{FF2B5EF4-FFF2-40B4-BE49-F238E27FC236}">
              <a16:creationId xmlns:a16="http://schemas.microsoft.com/office/drawing/2014/main" id="{00000000-0008-0000-0000-000015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305550" y="28479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9</xdr:row>
      <xdr:rowOff>28575</xdr:rowOff>
    </xdr:from>
    <xdr:to>
      <xdr:col>3</xdr:col>
      <xdr:colOff>247650</xdr:colOff>
      <xdr:row>9</xdr:row>
      <xdr:rowOff>186690</xdr:rowOff>
    </xdr:to>
    <xdr:pic>
      <xdr:nvPicPr>
        <xdr:cNvPr id="22" name="CommandButton10">
          <a:extLst>
            <a:ext uri="{FF2B5EF4-FFF2-40B4-BE49-F238E27FC236}">
              <a16:creationId xmlns:a16="http://schemas.microsoft.com/office/drawing/2014/main" id="{00000000-0008-0000-0000-000016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26860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9</xdr:row>
      <xdr:rowOff>28575</xdr:rowOff>
    </xdr:from>
    <xdr:to>
      <xdr:col>3</xdr:col>
      <xdr:colOff>247650</xdr:colOff>
      <xdr:row>9</xdr:row>
      <xdr:rowOff>186690</xdr:rowOff>
    </xdr:to>
    <xdr:pic>
      <xdr:nvPicPr>
        <xdr:cNvPr id="23" name="CommandButton9">
          <a:extLst>
            <a:ext uri="{FF2B5EF4-FFF2-40B4-BE49-F238E27FC236}">
              <a16:creationId xmlns:a16="http://schemas.microsoft.com/office/drawing/2014/main" id="{00000000-0008-0000-0000-000017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305550" y="26860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10</xdr:row>
      <xdr:rowOff>28575</xdr:rowOff>
    </xdr:from>
    <xdr:to>
      <xdr:col>3</xdr:col>
      <xdr:colOff>247650</xdr:colOff>
      <xdr:row>10</xdr:row>
      <xdr:rowOff>186690</xdr:rowOff>
    </xdr:to>
    <xdr:pic>
      <xdr:nvPicPr>
        <xdr:cNvPr id="24" name="CommandButton10">
          <a:extLst>
            <a:ext uri="{FF2B5EF4-FFF2-40B4-BE49-F238E27FC236}">
              <a16:creationId xmlns:a16="http://schemas.microsoft.com/office/drawing/2014/main" id="{00000000-0008-0000-0000-000018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28479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10</xdr:row>
      <xdr:rowOff>28575</xdr:rowOff>
    </xdr:from>
    <xdr:to>
      <xdr:col>3</xdr:col>
      <xdr:colOff>247650</xdr:colOff>
      <xdr:row>10</xdr:row>
      <xdr:rowOff>186690</xdr:rowOff>
    </xdr:to>
    <xdr:pic>
      <xdr:nvPicPr>
        <xdr:cNvPr id="25" name="CommandButton10">
          <a:extLst>
            <a:ext uri="{FF2B5EF4-FFF2-40B4-BE49-F238E27FC236}">
              <a16:creationId xmlns:a16="http://schemas.microsoft.com/office/drawing/2014/main" id="{00000000-0008-0000-0000-000019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28479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10</xdr:row>
      <xdr:rowOff>28575</xdr:rowOff>
    </xdr:from>
    <xdr:to>
      <xdr:col>3</xdr:col>
      <xdr:colOff>247650</xdr:colOff>
      <xdr:row>10</xdr:row>
      <xdr:rowOff>186690</xdr:rowOff>
    </xdr:to>
    <xdr:pic>
      <xdr:nvPicPr>
        <xdr:cNvPr id="26" name="CommandButton9">
          <a:extLst>
            <a:ext uri="{FF2B5EF4-FFF2-40B4-BE49-F238E27FC236}">
              <a16:creationId xmlns:a16="http://schemas.microsoft.com/office/drawing/2014/main" id="{00000000-0008-0000-0000-00001A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305550" y="28479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10</xdr:row>
      <xdr:rowOff>28575</xdr:rowOff>
    </xdr:from>
    <xdr:to>
      <xdr:col>3</xdr:col>
      <xdr:colOff>247650</xdr:colOff>
      <xdr:row>10</xdr:row>
      <xdr:rowOff>186690</xdr:rowOff>
    </xdr:to>
    <xdr:pic>
      <xdr:nvPicPr>
        <xdr:cNvPr id="27" name="CommandButton10">
          <a:extLst>
            <a:ext uri="{FF2B5EF4-FFF2-40B4-BE49-F238E27FC236}">
              <a16:creationId xmlns:a16="http://schemas.microsoft.com/office/drawing/2014/main" id="{00000000-0008-0000-0000-00001B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30099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10</xdr:row>
      <xdr:rowOff>28575</xdr:rowOff>
    </xdr:from>
    <xdr:to>
      <xdr:col>3</xdr:col>
      <xdr:colOff>247650</xdr:colOff>
      <xdr:row>10</xdr:row>
      <xdr:rowOff>186690</xdr:rowOff>
    </xdr:to>
    <xdr:pic>
      <xdr:nvPicPr>
        <xdr:cNvPr id="28" name="CommandButton10">
          <a:extLst>
            <a:ext uri="{FF2B5EF4-FFF2-40B4-BE49-F238E27FC236}">
              <a16:creationId xmlns:a16="http://schemas.microsoft.com/office/drawing/2014/main" id="{00000000-0008-0000-0000-00001C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30099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10</xdr:row>
      <xdr:rowOff>28575</xdr:rowOff>
    </xdr:from>
    <xdr:to>
      <xdr:col>3</xdr:col>
      <xdr:colOff>247650</xdr:colOff>
      <xdr:row>10</xdr:row>
      <xdr:rowOff>186690</xdr:rowOff>
    </xdr:to>
    <xdr:pic>
      <xdr:nvPicPr>
        <xdr:cNvPr id="29" name="CommandButton9">
          <a:extLst>
            <a:ext uri="{FF2B5EF4-FFF2-40B4-BE49-F238E27FC236}">
              <a16:creationId xmlns:a16="http://schemas.microsoft.com/office/drawing/2014/main" id="{00000000-0008-0000-0000-00001D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305550" y="30099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11</xdr:row>
      <xdr:rowOff>28575</xdr:rowOff>
    </xdr:from>
    <xdr:to>
      <xdr:col>3</xdr:col>
      <xdr:colOff>247650</xdr:colOff>
      <xdr:row>11</xdr:row>
      <xdr:rowOff>186690</xdr:rowOff>
    </xdr:to>
    <xdr:pic>
      <xdr:nvPicPr>
        <xdr:cNvPr id="30" name="CommandButton10">
          <a:extLst>
            <a:ext uri="{FF2B5EF4-FFF2-40B4-BE49-F238E27FC236}">
              <a16:creationId xmlns:a16="http://schemas.microsoft.com/office/drawing/2014/main" id="{00000000-0008-0000-0000-00001E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31718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11</xdr:row>
      <xdr:rowOff>28575</xdr:rowOff>
    </xdr:from>
    <xdr:to>
      <xdr:col>3</xdr:col>
      <xdr:colOff>247650</xdr:colOff>
      <xdr:row>11</xdr:row>
      <xdr:rowOff>186690</xdr:rowOff>
    </xdr:to>
    <xdr:pic>
      <xdr:nvPicPr>
        <xdr:cNvPr id="31" name="CommandButton10">
          <a:extLst>
            <a:ext uri="{FF2B5EF4-FFF2-40B4-BE49-F238E27FC236}">
              <a16:creationId xmlns:a16="http://schemas.microsoft.com/office/drawing/2014/main" id="{00000000-0008-0000-0000-00001F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31718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11</xdr:row>
      <xdr:rowOff>28575</xdr:rowOff>
    </xdr:from>
    <xdr:to>
      <xdr:col>3</xdr:col>
      <xdr:colOff>247650</xdr:colOff>
      <xdr:row>11</xdr:row>
      <xdr:rowOff>186690</xdr:rowOff>
    </xdr:to>
    <xdr:pic>
      <xdr:nvPicPr>
        <xdr:cNvPr id="32" name="CommandButton9">
          <a:extLst>
            <a:ext uri="{FF2B5EF4-FFF2-40B4-BE49-F238E27FC236}">
              <a16:creationId xmlns:a16="http://schemas.microsoft.com/office/drawing/2014/main" id="{00000000-0008-0000-0000-000020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305550" y="31718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11</xdr:row>
      <xdr:rowOff>28575</xdr:rowOff>
    </xdr:from>
    <xdr:to>
      <xdr:col>3</xdr:col>
      <xdr:colOff>247650</xdr:colOff>
      <xdr:row>11</xdr:row>
      <xdr:rowOff>186690</xdr:rowOff>
    </xdr:to>
    <xdr:pic>
      <xdr:nvPicPr>
        <xdr:cNvPr id="33" name="CommandButton10">
          <a:extLst>
            <a:ext uri="{FF2B5EF4-FFF2-40B4-BE49-F238E27FC236}">
              <a16:creationId xmlns:a16="http://schemas.microsoft.com/office/drawing/2014/main" id="{00000000-0008-0000-0000-000021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31718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11</xdr:row>
      <xdr:rowOff>28575</xdr:rowOff>
    </xdr:from>
    <xdr:to>
      <xdr:col>3</xdr:col>
      <xdr:colOff>247650</xdr:colOff>
      <xdr:row>11</xdr:row>
      <xdr:rowOff>186690</xdr:rowOff>
    </xdr:to>
    <xdr:pic>
      <xdr:nvPicPr>
        <xdr:cNvPr id="34" name="CommandButton9">
          <a:hlinkClick xmlns:r="http://schemas.openxmlformats.org/officeDocument/2006/relationships" r:id="rId15"/>
          <a:extLst>
            <a:ext uri="{FF2B5EF4-FFF2-40B4-BE49-F238E27FC236}">
              <a16:creationId xmlns:a16="http://schemas.microsoft.com/office/drawing/2014/main" id="{00000000-0008-0000-0000-000022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305550" y="31718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7</xdr:row>
      <xdr:rowOff>28575</xdr:rowOff>
    </xdr:from>
    <xdr:to>
      <xdr:col>3</xdr:col>
      <xdr:colOff>247650</xdr:colOff>
      <xdr:row>7</xdr:row>
      <xdr:rowOff>186690</xdr:rowOff>
    </xdr:to>
    <xdr:pic>
      <xdr:nvPicPr>
        <xdr:cNvPr id="38" name="CommandButton9">
          <a:hlinkClick xmlns:r="http://schemas.openxmlformats.org/officeDocument/2006/relationships" r:id="rId9"/>
          <a:extLst>
            <a:ext uri="{FF2B5EF4-FFF2-40B4-BE49-F238E27FC236}">
              <a16:creationId xmlns:a16="http://schemas.microsoft.com/office/drawing/2014/main" id="{00000000-0008-0000-0000-000026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305550" y="25241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8</xdr:row>
      <xdr:rowOff>28575</xdr:rowOff>
    </xdr:from>
    <xdr:to>
      <xdr:col>3</xdr:col>
      <xdr:colOff>247650</xdr:colOff>
      <xdr:row>8</xdr:row>
      <xdr:rowOff>186690</xdr:rowOff>
    </xdr:to>
    <xdr:pic>
      <xdr:nvPicPr>
        <xdr:cNvPr id="39" name="CommandButton10">
          <a:extLst>
            <a:ext uri="{FF2B5EF4-FFF2-40B4-BE49-F238E27FC236}">
              <a16:creationId xmlns:a16="http://schemas.microsoft.com/office/drawing/2014/main" id="{00000000-0008-0000-0000-000027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26860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8</xdr:row>
      <xdr:rowOff>28575</xdr:rowOff>
    </xdr:from>
    <xdr:to>
      <xdr:col>3</xdr:col>
      <xdr:colOff>247650</xdr:colOff>
      <xdr:row>8</xdr:row>
      <xdr:rowOff>186690</xdr:rowOff>
    </xdr:to>
    <xdr:pic>
      <xdr:nvPicPr>
        <xdr:cNvPr id="40" name="CommandButton9">
          <a:hlinkClick xmlns:r="http://schemas.openxmlformats.org/officeDocument/2006/relationships" r:id="rId11"/>
          <a:extLst>
            <a:ext uri="{FF2B5EF4-FFF2-40B4-BE49-F238E27FC236}">
              <a16:creationId xmlns:a16="http://schemas.microsoft.com/office/drawing/2014/main" id="{00000000-0008-0000-0000-000028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305550" y="26860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9</xdr:row>
      <xdr:rowOff>28575</xdr:rowOff>
    </xdr:from>
    <xdr:to>
      <xdr:col>3</xdr:col>
      <xdr:colOff>247650</xdr:colOff>
      <xdr:row>9</xdr:row>
      <xdr:rowOff>186690</xdr:rowOff>
    </xdr:to>
    <xdr:pic>
      <xdr:nvPicPr>
        <xdr:cNvPr id="41" name="CommandButton9">
          <a:hlinkClick xmlns:r="http://schemas.openxmlformats.org/officeDocument/2006/relationships" r:id="rId16"/>
          <a:extLst>
            <a:ext uri="{FF2B5EF4-FFF2-40B4-BE49-F238E27FC236}">
              <a16:creationId xmlns:a16="http://schemas.microsoft.com/office/drawing/2014/main" id="{00000000-0008-0000-0000-000029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305550" y="25241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10</xdr:row>
      <xdr:rowOff>28575</xdr:rowOff>
    </xdr:from>
    <xdr:to>
      <xdr:col>3</xdr:col>
      <xdr:colOff>247650</xdr:colOff>
      <xdr:row>10</xdr:row>
      <xdr:rowOff>186690</xdr:rowOff>
    </xdr:to>
    <xdr:pic>
      <xdr:nvPicPr>
        <xdr:cNvPr id="42" name="CommandButton10">
          <a:extLst>
            <a:ext uri="{FF2B5EF4-FFF2-40B4-BE49-F238E27FC236}">
              <a16:creationId xmlns:a16="http://schemas.microsoft.com/office/drawing/2014/main" id="{00000000-0008-0000-0000-00002A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305550" y="26860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10</xdr:row>
      <xdr:rowOff>28575</xdr:rowOff>
    </xdr:from>
    <xdr:to>
      <xdr:col>3</xdr:col>
      <xdr:colOff>247650</xdr:colOff>
      <xdr:row>10</xdr:row>
      <xdr:rowOff>186690</xdr:rowOff>
    </xdr:to>
    <xdr:pic>
      <xdr:nvPicPr>
        <xdr:cNvPr id="43" name="CommandButton9">
          <a:hlinkClick xmlns:r="http://schemas.openxmlformats.org/officeDocument/2006/relationships" r:id="rId17"/>
          <a:extLst>
            <a:ext uri="{FF2B5EF4-FFF2-40B4-BE49-F238E27FC236}">
              <a16:creationId xmlns:a16="http://schemas.microsoft.com/office/drawing/2014/main" id="{00000000-0008-0000-0000-00002B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305550" y="26860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10</xdr:row>
      <xdr:rowOff>28575</xdr:rowOff>
    </xdr:from>
    <xdr:to>
      <xdr:col>3</xdr:col>
      <xdr:colOff>247650</xdr:colOff>
      <xdr:row>10</xdr:row>
      <xdr:rowOff>186690</xdr:rowOff>
    </xdr:to>
    <xdr:pic>
      <xdr:nvPicPr>
        <xdr:cNvPr id="44" name="CommandButton10">
          <a:extLst>
            <a:ext uri="{FF2B5EF4-FFF2-40B4-BE49-F238E27FC236}">
              <a16:creationId xmlns:a16="http://schemas.microsoft.com/office/drawing/2014/main" id="{00000000-0008-0000-0000-00002C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17145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10</xdr:row>
      <xdr:rowOff>28575</xdr:rowOff>
    </xdr:from>
    <xdr:to>
      <xdr:col>3</xdr:col>
      <xdr:colOff>247650</xdr:colOff>
      <xdr:row>10</xdr:row>
      <xdr:rowOff>186690</xdr:rowOff>
    </xdr:to>
    <xdr:pic>
      <xdr:nvPicPr>
        <xdr:cNvPr id="45" name="CommandButton10">
          <a:extLst>
            <a:ext uri="{FF2B5EF4-FFF2-40B4-BE49-F238E27FC236}">
              <a16:creationId xmlns:a16="http://schemas.microsoft.com/office/drawing/2014/main" id="{00000000-0008-0000-0000-00002D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17145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10</xdr:row>
      <xdr:rowOff>28575</xdr:rowOff>
    </xdr:from>
    <xdr:to>
      <xdr:col>3</xdr:col>
      <xdr:colOff>247650</xdr:colOff>
      <xdr:row>10</xdr:row>
      <xdr:rowOff>186690</xdr:rowOff>
    </xdr:to>
    <xdr:pic>
      <xdr:nvPicPr>
        <xdr:cNvPr id="46" name="CommandButton9">
          <a:extLst>
            <a:ext uri="{FF2B5EF4-FFF2-40B4-BE49-F238E27FC236}">
              <a16:creationId xmlns:a16="http://schemas.microsoft.com/office/drawing/2014/main" id="{00000000-0008-0000-0000-00002E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17145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11</xdr:row>
      <xdr:rowOff>28575</xdr:rowOff>
    </xdr:from>
    <xdr:to>
      <xdr:col>3</xdr:col>
      <xdr:colOff>247650</xdr:colOff>
      <xdr:row>11</xdr:row>
      <xdr:rowOff>186690</xdr:rowOff>
    </xdr:to>
    <xdr:pic>
      <xdr:nvPicPr>
        <xdr:cNvPr id="47" name="CommandButton10">
          <a:extLst>
            <a:ext uri="{FF2B5EF4-FFF2-40B4-BE49-F238E27FC236}">
              <a16:creationId xmlns:a16="http://schemas.microsoft.com/office/drawing/2014/main" id="{00000000-0008-0000-0000-00002F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18764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11</xdr:row>
      <xdr:rowOff>28575</xdr:rowOff>
    </xdr:from>
    <xdr:to>
      <xdr:col>3</xdr:col>
      <xdr:colOff>247650</xdr:colOff>
      <xdr:row>11</xdr:row>
      <xdr:rowOff>186690</xdr:rowOff>
    </xdr:to>
    <xdr:pic>
      <xdr:nvPicPr>
        <xdr:cNvPr id="48" name="CommandButton10">
          <a:extLst>
            <a:ext uri="{FF2B5EF4-FFF2-40B4-BE49-F238E27FC236}">
              <a16:creationId xmlns:a16="http://schemas.microsoft.com/office/drawing/2014/main" id="{00000000-0008-0000-0000-000030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18764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11</xdr:row>
      <xdr:rowOff>28575</xdr:rowOff>
    </xdr:from>
    <xdr:to>
      <xdr:col>3</xdr:col>
      <xdr:colOff>247650</xdr:colOff>
      <xdr:row>11</xdr:row>
      <xdr:rowOff>186690</xdr:rowOff>
    </xdr:to>
    <xdr:pic>
      <xdr:nvPicPr>
        <xdr:cNvPr id="49" name="CommandButton9">
          <a:extLst>
            <a:ext uri="{FF2B5EF4-FFF2-40B4-BE49-F238E27FC236}">
              <a16:creationId xmlns:a16="http://schemas.microsoft.com/office/drawing/2014/main" id="{00000000-0008-0000-0000-000031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18764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11</xdr:row>
      <xdr:rowOff>28575</xdr:rowOff>
    </xdr:from>
    <xdr:to>
      <xdr:col>3</xdr:col>
      <xdr:colOff>247650</xdr:colOff>
      <xdr:row>11</xdr:row>
      <xdr:rowOff>186690</xdr:rowOff>
    </xdr:to>
    <xdr:pic>
      <xdr:nvPicPr>
        <xdr:cNvPr id="50" name="CommandButton10">
          <a:extLst>
            <a:ext uri="{FF2B5EF4-FFF2-40B4-BE49-F238E27FC236}">
              <a16:creationId xmlns:a16="http://schemas.microsoft.com/office/drawing/2014/main" id="{00000000-0008-0000-0000-000032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18764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11</xdr:row>
      <xdr:rowOff>28575</xdr:rowOff>
    </xdr:from>
    <xdr:to>
      <xdr:col>3</xdr:col>
      <xdr:colOff>247650</xdr:colOff>
      <xdr:row>11</xdr:row>
      <xdr:rowOff>186690</xdr:rowOff>
    </xdr:to>
    <xdr:pic>
      <xdr:nvPicPr>
        <xdr:cNvPr id="51" name="CommandButton9">
          <a:extLst>
            <a:ext uri="{FF2B5EF4-FFF2-40B4-BE49-F238E27FC236}">
              <a16:creationId xmlns:a16="http://schemas.microsoft.com/office/drawing/2014/main" id="{00000000-0008-0000-0000-000033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18764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12</xdr:row>
      <xdr:rowOff>28575</xdr:rowOff>
    </xdr:from>
    <xdr:to>
      <xdr:col>3</xdr:col>
      <xdr:colOff>247650</xdr:colOff>
      <xdr:row>13</xdr:row>
      <xdr:rowOff>19050</xdr:rowOff>
    </xdr:to>
    <xdr:pic>
      <xdr:nvPicPr>
        <xdr:cNvPr id="52" name="CommandButton10">
          <a:extLst>
            <a:ext uri="{FF2B5EF4-FFF2-40B4-BE49-F238E27FC236}">
              <a16:creationId xmlns:a16="http://schemas.microsoft.com/office/drawing/2014/main" id="{00000000-0008-0000-0000-000034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0383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12</xdr:row>
      <xdr:rowOff>28575</xdr:rowOff>
    </xdr:from>
    <xdr:to>
      <xdr:col>3</xdr:col>
      <xdr:colOff>247650</xdr:colOff>
      <xdr:row>13</xdr:row>
      <xdr:rowOff>19050</xdr:rowOff>
    </xdr:to>
    <xdr:pic>
      <xdr:nvPicPr>
        <xdr:cNvPr id="53" name="CommandButton10">
          <a:extLst>
            <a:ext uri="{FF2B5EF4-FFF2-40B4-BE49-F238E27FC236}">
              <a16:creationId xmlns:a16="http://schemas.microsoft.com/office/drawing/2014/main" id="{00000000-0008-0000-0000-000035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0383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12</xdr:row>
      <xdr:rowOff>28575</xdr:rowOff>
    </xdr:from>
    <xdr:to>
      <xdr:col>3</xdr:col>
      <xdr:colOff>247650</xdr:colOff>
      <xdr:row>13</xdr:row>
      <xdr:rowOff>19050</xdr:rowOff>
    </xdr:to>
    <xdr:pic>
      <xdr:nvPicPr>
        <xdr:cNvPr id="54" name="CommandButton9">
          <a:extLst>
            <a:ext uri="{FF2B5EF4-FFF2-40B4-BE49-F238E27FC236}">
              <a16:creationId xmlns:a16="http://schemas.microsoft.com/office/drawing/2014/main" id="{00000000-0008-0000-0000-000036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20383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12</xdr:row>
      <xdr:rowOff>28575</xdr:rowOff>
    </xdr:from>
    <xdr:to>
      <xdr:col>3</xdr:col>
      <xdr:colOff>247650</xdr:colOff>
      <xdr:row>13</xdr:row>
      <xdr:rowOff>19050</xdr:rowOff>
    </xdr:to>
    <xdr:pic>
      <xdr:nvPicPr>
        <xdr:cNvPr id="55" name="CommandButton10">
          <a:extLst>
            <a:ext uri="{FF2B5EF4-FFF2-40B4-BE49-F238E27FC236}">
              <a16:creationId xmlns:a16="http://schemas.microsoft.com/office/drawing/2014/main" id="{00000000-0008-0000-0000-000037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0383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12</xdr:row>
      <xdr:rowOff>28575</xdr:rowOff>
    </xdr:from>
    <xdr:to>
      <xdr:col>3</xdr:col>
      <xdr:colOff>247650</xdr:colOff>
      <xdr:row>13</xdr:row>
      <xdr:rowOff>19050</xdr:rowOff>
    </xdr:to>
    <xdr:pic>
      <xdr:nvPicPr>
        <xdr:cNvPr id="56" name="CommandButton10">
          <a:extLst>
            <a:ext uri="{FF2B5EF4-FFF2-40B4-BE49-F238E27FC236}">
              <a16:creationId xmlns:a16="http://schemas.microsoft.com/office/drawing/2014/main" id="{00000000-0008-0000-0000-000038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0383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12</xdr:row>
      <xdr:rowOff>28575</xdr:rowOff>
    </xdr:from>
    <xdr:to>
      <xdr:col>3</xdr:col>
      <xdr:colOff>247650</xdr:colOff>
      <xdr:row>13</xdr:row>
      <xdr:rowOff>19050</xdr:rowOff>
    </xdr:to>
    <xdr:pic>
      <xdr:nvPicPr>
        <xdr:cNvPr id="57" name="CommandButton9">
          <a:extLst>
            <a:ext uri="{FF2B5EF4-FFF2-40B4-BE49-F238E27FC236}">
              <a16:creationId xmlns:a16="http://schemas.microsoft.com/office/drawing/2014/main" id="{00000000-0008-0000-0000-000039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20383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10</xdr:row>
      <xdr:rowOff>28575</xdr:rowOff>
    </xdr:from>
    <xdr:to>
      <xdr:col>3</xdr:col>
      <xdr:colOff>247650</xdr:colOff>
      <xdr:row>10</xdr:row>
      <xdr:rowOff>186690</xdr:rowOff>
    </xdr:to>
    <xdr:pic>
      <xdr:nvPicPr>
        <xdr:cNvPr id="58" name="CommandButton10">
          <a:extLst>
            <a:ext uri="{FF2B5EF4-FFF2-40B4-BE49-F238E27FC236}">
              <a16:creationId xmlns:a16="http://schemas.microsoft.com/office/drawing/2014/main" id="{00000000-0008-0000-0000-00003A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17145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10</xdr:row>
      <xdr:rowOff>28575</xdr:rowOff>
    </xdr:from>
    <xdr:to>
      <xdr:col>3</xdr:col>
      <xdr:colOff>247650</xdr:colOff>
      <xdr:row>10</xdr:row>
      <xdr:rowOff>186690</xdr:rowOff>
    </xdr:to>
    <xdr:pic>
      <xdr:nvPicPr>
        <xdr:cNvPr id="59" name="CommandButton9">
          <a:hlinkClick xmlns:r="http://schemas.openxmlformats.org/officeDocument/2006/relationships" r:id="rId18"/>
          <a:extLst>
            <a:ext uri="{FF2B5EF4-FFF2-40B4-BE49-F238E27FC236}">
              <a16:creationId xmlns:a16="http://schemas.microsoft.com/office/drawing/2014/main" id="{00000000-0008-0000-0000-00003B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17145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11</xdr:row>
      <xdr:rowOff>28575</xdr:rowOff>
    </xdr:from>
    <xdr:to>
      <xdr:col>3</xdr:col>
      <xdr:colOff>247650</xdr:colOff>
      <xdr:row>11</xdr:row>
      <xdr:rowOff>186690</xdr:rowOff>
    </xdr:to>
    <xdr:pic>
      <xdr:nvPicPr>
        <xdr:cNvPr id="60" name="CommandButton9">
          <a:hlinkClick xmlns:r="http://schemas.openxmlformats.org/officeDocument/2006/relationships" r:id="rId19"/>
          <a:extLst>
            <a:ext uri="{FF2B5EF4-FFF2-40B4-BE49-F238E27FC236}">
              <a16:creationId xmlns:a16="http://schemas.microsoft.com/office/drawing/2014/main" id="{00000000-0008-0000-0000-00003C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187642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12</xdr:row>
      <xdr:rowOff>28575</xdr:rowOff>
    </xdr:from>
    <xdr:to>
      <xdr:col>3</xdr:col>
      <xdr:colOff>247650</xdr:colOff>
      <xdr:row>13</xdr:row>
      <xdr:rowOff>19050</xdr:rowOff>
    </xdr:to>
    <xdr:pic>
      <xdr:nvPicPr>
        <xdr:cNvPr id="61" name="CommandButton10">
          <a:extLst>
            <a:ext uri="{FF2B5EF4-FFF2-40B4-BE49-F238E27FC236}">
              <a16:creationId xmlns:a16="http://schemas.microsoft.com/office/drawing/2014/main" id="{00000000-0008-0000-0000-00003D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03835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12</xdr:row>
      <xdr:rowOff>19050</xdr:rowOff>
    </xdr:from>
    <xdr:to>
      <xdr:col>3</xdr:col>
      <xdr:colOff>247650</xdr:colOff>
      <xdr:row>13</xdr:row>
      <xdr:rowOff>9525</xdr:rowOff>
    </xdr:to>
    <xdr:pic>
      <xdr:nvPicPr>
        <xdr:cNvPr id="62" name="CommandButton9">
          <a:hlinkClick xmlns:r="http://schemas.openxmlformats.org/officeDocument/2006/relationships" r:id="rId20"/>
          <a:extLst>
            <a:ext uri="{FF2B5EF4-FFF2-40B4-BE49-F238E27FC236}">
              <a16:creationId xmlns:a16="http://schemas.microsoft.com/office/drawing/2014/main" id="{00000000-0008-0000-0000-00003E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23526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3</xdr:col>
      <xdr:colOff>28575</xdr:colOff>
      <xdr:row>5</xdr:row>
      <xdr:rowOff>19050</xdr:rowOff>
    </xdr:from>
    <xdr:to>
      <xdr:col>3</xdr:col>
      <xdr:colOff>247650</xdr:colOff>
      <xdr:row>5</xdr:row>
      <xdr:rowOff>177165</xdr:rowOff>
    </xdr:to>
    <xdr:pic>
      <xdr:nvPicPr>
        <xdr:cNvPr id="63" name="CommandButton9">
          <a:hlinkClick xmlns:r="http://schemas.openxmlformats.org/officeDocument/2006/relationships" r:id="rId5"/>
          <a:extLst>
            <a:ext uri="{FF2B5EF4-FFF2-40B4-BE49-F238E27FC236}">
              <a16:creationId xmlns:a16="http://schemas.microsoft.com/office/drawing/2014/main" id="{00000000-0008-0000-0000-00003F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12192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oneCellAnchor>
    <xdr:from>
      <xdr:col>3</xdr:col>
      <xdr:colOff>28575</xdr:colOff>
      <xdr:row>5</xdr:row>
      <xdr:rowOff>28575</xdr:rowOff>
    </xdr:from>
    <xdr:ext cx="219075" cy="152400"/>
    <xdr:pic>
      <xdr:nvPicPr>
        <xdr:cNvPr id="64" name="CommandButton1">
          <a:hlinkClick xmlns:r="http://schemas.openxmlformats.org/officeDocument/2006/relationships" r:id="rId1"/>
          <a:extLst>
            <a:ext uri="{FF2B5EF4-FFF2-40B4-BE49-F238E27FC236}">
              <a16:creationId xmlns:a16="http://schemas.microsoft.com/office/drawing/2014/main" id="{00000000-0008-0000-0000-000040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48450" y="9048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6</xdr:row>
      <xdr:rowOff>28575</xdr:rowOff>
    </xdr:from>
    <xdr:ext cx="219075" cy="152400"/>
    <xdr:pic>
      <xdr:nvPicPr>
        <xdr:cNvPr id="65" name="CommandButton2">
          <a:hlinkClick xmlns:r="http://schemas.openxmlformats.org/officeDocument/2006/relationships" r:id="rId3"/>
          <a:extLst>
            <a:ext uri="{FF2B5EF4-FFF2-40B4-BE49-F238E27FC236}">
              <a16:creationId xmlns:a16="http://schemas.microsoft.com/office/drawing/2014/main" id="{00000000-0008-0000-0000-000041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648450" y="10668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66" name="CommandButton3">
          <a:hlinkClick xmlns:r="http://schemas.openxmlformats.org/officeDocument/2006/relationships" r:id="rId5"/>
          <a:extLst>
            <a:ext uri="{FF2B5EF4-FFF2-40B4-BE49-F238E27FC236}">
              <a16:creationId xmlns:a16="http://schemas.microsoft.com/office/drawing/2014/main" id="{00000000-0008-0000-0000-000042000000}"/>
            </a:ext>
          </a:extLst>
        </xdr:cNvPr>
        <xdr:cNvPicPr preferRelativeResize="0">
          <a:picLocks noChangeArrowheads="1" noChangeShapeType="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648450" y="22002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13</xdr:row>
      <xdr:rowOff>28575</xdr:rowOff>
    </xdr:from>
    <xdr:ext cx="219075" cy="152400"/>
    <xdr:pic>
      <xdr:nvPicPr>
        <xdr:cNvPr id="67" name="CommandButton4">
          <a:hlinkClick xmlns:r="http://schemas.openxmlformats.org/officeDocument/2006/relationships" r:id="rId7"/>
          <a:extLst>
            <a:ext uri="{FF2B5EF4-FFF2-40B4-BE49-F238E27FC236}">
              <a16:creationId xmlns:a16="http://schemas.microsoft.com/office/drawing/2014/main" id="{00000000-0008-0000-0000-000043000000}"/>
            </a:ext>
          </a:extLst>
        </xdr:cNvPr>
        <xdr:cNvPicPr preferRelativeResize="0">
          <a:picLocks noChangeArrowheads="1" noChangeShapeType="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648450" y="23622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68" name="CommandButton10">
          <a:extLst>
            <a:ext uri="{FF2B5EF4-FFF2-40B4-BE49-F238E27FC236}">
              <a16:creationId xmlns:a16="http://schemas.microsoft.com/office/drawing/2014/main" id="{00000000-0008-0000-0000-000044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2002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69" name="CommandButton10">
          <a:extLst>
            <a:ext uri="{FF2B5EF4-FFF2-40B4-BE49-F238E27FC236}">
              <a16:creationId xmlns:a16="http://schemas.microsoft.com/office/drawing/2014/main" id="{00000000-0008-0000-0000-000045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2002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70" name="CommandButton9">
          <a:extLst>
            <a:ext uri="{FF2B5EF4-FFF2-40B4-BE49-F238E27FC236}">
              <a16:creationId xmlns:a16="http://schemas.microsoft.com/office/drawing/2014/main" id="{00000000-0008-0000-0000-000046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22002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71" name="CommandButton10">
          <a:extLst>
            <a:ext uri="{FF2B5EF4-FFF2-40B4-BE49-F238E27FC236}">
              <a16:creationId xmlns:a16="http://schemas.microsoft.com/office/drawing/2014/main" id="{00000000-0008-0000-0000-000047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2002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72" name="CommandButton9">
          <a:hlinkClick xmlns:r="http://schemas.openxmlformats.org/officeDocument/2006/relationships" r:id="rId15"/>
          <a:extLst>
            <a:ext uri="{FF2B5EF4-FFF2-40B4-BE49-F238E27FC236}">
              <a16:creationId xmlns:a16="http://schemas.microsoft.com/office/drawing/2014/main" id="{00000000-0008-0000-0000-000048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22002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73" name="CommandButton10">
          <a:extLst>
            <a:ext uri="{FF2B5EF4-FFF2-40B4-BE49-F238E27FC236}">
              <a16:creationId xmlns:a16="http://schemas.microsoft.com/office/drawing/2014/main" id="{00000000-0008-0000-0000-000049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2002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74" name="CommandButton10">
          <a:extLst>
            <a:ext uri="{FF2B5EF4-FFF2-40B4-BE49-F238E27FC236}">
              <a16:creationId xmlns:a16="http://schemas.microsoft.com/office/drawing/2014/main" id="{00000000-0008-0000-0000-00004A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2002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75" name="CommandButton9">
          <a:extLst>
            <a:ext uri="{FF2B5EF4-FFF2-40B4-BE49-F238E27FC236}">
              <a16:creationId xmlns:a16="http://schemas.microsoft.com/office/drawing/2014/main" id="{00000000-0008-0000-0000-00004B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22002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76" name="CommandButton10">
          <a:extLst>
            <a:ext uri="{FF2B5EF4-FFF2-40B4-BE49-F238E27FC236}">
              <a16:creationId xmlns:a16="http://schemas.microsoft.com/office/drawing/2014/main" id="{00000000-0008-0000-0000-00004C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2002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77" name="CommandButton9">
          <a:extLst>
            <a:ext uri="{FF2B5EF4-FFF2-40B4-BE49-F238E27FC236}">
              <a16:creationId xmlns:a16="http://schemas.microsoft.com/office/drawing/2014/main" id="{00000000-0008-0000-0000-00004D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22002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13</xdr:row>
      <xdr:rowOff>28575</xdr:rowOff>
    </xdr:from>
    <xdr:ext cx="219075" cy="152400"/>
    <xdr:pic>
      <xdr:nvPicPr>
        <xdr:cNvPr id="78" name="CommandButton10">
          <a:extLst>
            <a:ext uri="{FF2B5EF4-FFF2-40B4-BE49-F238E27FC236}">
              <a16:creationId xmlns:a16="http://schemas.microsoft.com/office/drawing/2014/main" id="{00000000-0008-0000-0000-00004E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3622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13</xdr:row>
      <xdr:rowOff>28575</xdr:rowOff>
    </xdr:from>
    <xdr:ext cx="219075" cy="152400"/>
    <xdr:pic>
      <xdr:nvPicPr>
        <xdr:cNvPr id="79" name="CommandButton10">
          <a:extLst>
            <a:ext uri="{FF2B5EF4-FFF2-40B4-BE49-F238E27FC236}">
              <a16:creationId xmlns:a16="http://schemas.microsoft.com/office/drawing/2014/main" id="{00000000-0008-0000-0000-00004F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3622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13</xdr:row>
      <xdr:rowOff>28575</xdr:rowOff>
    </xdr:from>
    <xdr:ext cx="219075" cy="152400"/>
    <xdr:pic>
      <xdr:nvPicPr>
        <xdr:cNvPr id="80" name="CommandButton9">
          <a:extLst>
            <a:ext uri="{FF2B5EF4-FFF2-40B4-BE49-F238E27FC236}">
              <a16:creationId xmlns:a16="http://schemas.microsoft.com/office/drawing/2014/main" id="{00000000-0008-0000-0000-000050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23622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13</xdr:row>
      <xdr:rowOff>28575</xdr:rowOff>
    </xdr:from>
    <xdr:ext cx="219075" cy="152400"/>
    <xdr:pic>
      <xdr:nvPicPr>
        <xdr:cNvPr id="81" name="CommandButton10">
          <a:extLst>
            <a:ext uri="{FF2B5EF4-FFF2-40B4-BE49-F238E27FC236}">
              <a16:creationId xmlns:a16="http://schemas.microsoft.com/office/drawing/2014/main" id="{00000000-0008-0000-0000-000051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3622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13</xdr:row>
      <xdr:rowOff>28575</xdr:rowOff>
    </xdr:from>
    <xdr:ext cx="219075" cy="152400"/>
    <xdr:pic>
      <xdr:nvPicPr>
        <xdr:cNvPr id="82" name="CommandButton10">
          <a:extLst>
            <a:ext uri="{FF2B5EF4-FFF2-40B4-BE49-F238E27FC236}">
              <a16:creationId xmlns:a16="http://schemas.microsoft.com/office/drawing/2014/main" id="{00000000-0008-0000-0000-000052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3622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13</xdr:row>
      <xdr:rowOff>28575</xdr:rowOff>
    </xdr:from>
    <xdr:ext cx="219075" cy="152400"/>
    <xdr:pic>
      <xdr:nvPicPr>
        <xdr:cNvPr id="83" name="CommandButton9">
          <a:extLst>
            <a:ext uri="{FF2B5EF4-FFF2-40B4-BE49-F238E27FC236}">
              <a16:creationId xmlns:a16="http://schemas.microsoft.com/office/drawing/2014/main" id="{00000000-0008-0000-0000-000053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23622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12</xdr:row>
      <xdr:rowOff>28575</xdr:rowOff>
    </xdr:from>
    <xdr:ext cx="219075" cy="152400"/>
    <xdr:pic>
      <xdr:nvPicPr>
        <xdr:cNvPr id="84" name="CommandButton9">
          <a:hlinkClick xmlns:r="http://schemas.openxmlformats.org/officeDocument/2006/relationships" r:id="rId19"/>
          <a:extLst>
            <a:ext uri="{FF2B5EF4-FFF2-40B4-BE49-F238E27FC236}">
              <a16:creationId xmlns:a16="http://schemas.microsoft.com/office/drawing/2014/main" id="{00000000-0008-0000-0000-000054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22002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13</xdr:row>
      <xdr:rowOff>28575</xdr:rowOff>
    </xdr:from>
    <xdr:ext cx="219075" cy="152400"/>
    <xdr:pic>
      <xdr:nvPicPr>
        <xdr:cNvPr id="85" name="CommandButton10">
          <a:extLst>
            <a:ext uri="{FF2B5EF4-FFF2-40B4-BE49-F238E27FC236}">
              <a16:creationId xmlns:a16="http://schemas.microsoft.com/office/drawing/2014/main" id="{00000000-0008-0000-0000-000055000000}"/>
            </a:ext>
          </a:extLst>
        </xdr:cNvPr>
        <xdr:cNvPicPr preferRelativeResize="0">
          <a:picLocks noChangeArrowheads="1" noChangeShapeType="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648450" y="2362200"/>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3</xdr:col>
      <xdr:colOff>28575</xdr:colOff>
      <xdr:row>13</xdr:row>
      <xdr:rowOff>19050</xdr:rowOff>
    </xdr:from>
    <xdr:ext cx="219075" cy="152400"/>
    <xdr:pic>
      <xdr:nvPicPr>
        <xdr:cNvPr id="86" name="CommandButton9">
          <a:hlinkClick xmlns:r="http://schemas.openxmlformats.org/officeDocument/2006/relationships" r:id="rId20"/>
          <a:extLst>
            <a:ext uri="{FF2B5EF4-FFF2-40B4-BE49-F238E27FC236}">
              <a16:creationId xmlns:a16="http://schemas.microsoft.com/office/drawing/2014/main" id="{00000000-0008-0000-0000-000056000000}"/>
            </a:ext>
          </a:extLst>
        </xdr:cNvPr>
        <xdr:cNvPicPr preferRelativeResize="0">
          <a:picLocks noChangeArrowheads="1" noChangeShapeType="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648450" y="2352675"/>
          <a:ext cx="219075" cy="152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7</xdr:col>
      <xdr:colOff>104775</xdr:colOff>
      <xdr:row>2</xdr:row>
      <xdr:rowOff>28575</xdr:rowOff>
    </xdr:to>
    <xdr:pic>
      <xdr:nvPicPr>
        <xdr:cNvPr id="2" name="CommandButton1">
          <a:hlinkClick xmlns:r="http://schemas.openxmlformats.org/officeDocument/2006/relationships" r:id="rId1"/>
          <a:extLst>
            <a:ext uri="{FF2B5EF4-FFF2-40B4-BE49-F238E27FC236}">
              <a16:creationId xmlns:a16="http://schemas.microsoft.com/office/drawing/2014/main" id="{00000000-0008-0000-0100-000002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210800" y="266700"/>
          <a:ext cx="847725" cy="2952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0</xdr:colOff>
      <xdr:row>0</xdr:row>
      <xdr:rowOff>104775</xdr:rowOff>
    </xdr:from>
    <xdr:to>
      <xdr:col>7</xdr:col>
      <xdr:colOff>209550</xdr:colOff>
      <xdr:row>1</xdr:row>
      <xdr:rowOff>171450</xdr:rowOff>
    </xdr:to>
    <xdr:pic>
      <xdr:nvPicPr>
        <xdr:cNvPr id="94209" name="CommandButton1">
          <a:hlinkClick xmlns:r="http://schemas.openxmlformats.org/officeDocument/2006/relationships" r:id="rId1"/>
          <a:extLst>
            <a:ext uri="{FF2B5EF4-FFF2-40B4-BE49-F238E27FC236}">
              <a16:creationId xmlns:a16="http://schemas.microsoft.com/office/drawing/2014/main" id="{00000000-0008-0000-0200-0000017001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210800" y="104775"/>
          <a:ext cx="952500"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0</xdr:colOff>
      <xdr:row>0</xdr:row>
      <xdr:rowOff>104775</xdr:rowOff>
    </xdr:from>
    <xdr:to>
      <xdr:col>7</xdr:col>
      <xdr:colOff>209550</xdr:colOff>
      <xdr:row>1</xdr:row>
      <xdr:rowOff>171450</xdr:rowOff>
    </xdr:to>
    <xdr:pic>
      <xdr:nvPicPr>
        <xdr:cNvPr id="95233" name="CommandButton1">
          <a:hlinkClick xmlns:r="http://schemas.openxmlformats.org/officeDocument/2006/relationships" r:id="rId1"/>
          <a:extLst>
            <a:ext uri="{FF2B5EF4-FFF2-40B4-BE49-F238E27FC236}">
              <a16:creationId xmlns:a16="http://schemas.microsoft.com/office/drawing/2014/main" id="{00000000-0008-0000-0300-0000017401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15425" y="104775"/>
          <a:ext cx="952500"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0</xdr:row>
      <xdr:rowOff>104775</xdr:rowOff>
    </xdr:from>
    <xdr:to>
      <xdr:col>7</xdr:col>
      <xdr:colOff>104775</xdr:colOff>
      <xdr:row>1</xdr:row>
      <xdr:rowOff>152400</xdr:rowOff>
    </xdr:to>
    <xdr:pic>
      <xdr:nvPicPr>
        <xdr:cNvPr id="102401" name="CommandButton1">
          <a:hlinkClick xmlns:r="http://schemas.openxmlformats.org/officeDocument/2006/relationships" r:id="rId1"/>
          <a:extLst>
            <a:ext uri="{FF2B5EF4-FFF2-40B4-BE49-F238E27FC236}">
              <a16:creationId xmlns:a16="http://schemas.microsoft.com/office/drawing/2014/main" id="{00000000-0008-0000-0400-0000019001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829675" y="104775"/>
          <a:ext cx="847725" cy="2952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6</xdr:col>
      <xdr:colOff>0</xdr:colOff>
      <xdr:row>0</xdr:row>
      <xdr:rowOff>104775</xdr:rowOff>
    </xdr:from>
    <xdr:to>
      <xdr:col>7</xdr:col>
      <xdr:colOff>104775</xdr:colOff>
      <xdr:row>1</xdr:row>
      <xdr:rowOff>152400</xdr:rowOff>
    </xdr:to>
    <xdr:pic>
      <xdr:nvPicPr>
        <xdr:cNvPr id="2" name="CommandButton1">
          <a:hlinkClick xmlns:r="http://schemas.openxmlformats.org/officeDocument/2006/relationships" r:id="rId1"/>
          <a:extLst>
            <a:ext uri="{FF2B5EF4-FFF2-40B4-BE49-F238E27FC236}">
              <a16:creationId xmlns:a16="http://schemas.microsoft.com/office/drawing/2014/main" id="{00000000-0008-0000-0500-000002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829675" y="104775"/>
          <a:ext cx="847725" cy="2952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6</xdr:col>
      <xdr:colOff>0</xdr:colOff>
      <xdr:row>0</xdr:row>
      <xdr:rowOff>104775</xdr:rowOff>
    </xdr:from>
    <xdr:to>
      <xdr:col>7</xdr:col>
      <xdr:colOff>104775</xdr:colOff>
      <xdr:row>1</xdr:row>
      <xdr:rowOff>152400</xdr:rowOff>
    </xdr:to>
    <xdr:pic>
      <xdr:nvPicPr>
        <xdr:cNvPr id="2" name="CommandButton1">
          <a:hlinkClick xmlns:r="http://schemas.openxmlformats.org/officeDocument/2006/relationships" r:id="rId1"/>
          <a:extLst>
            <a:ext uri="{FF2B5EF4-FFF2-40B4-BE49-F238E27FC236}">
              <a16:creationId xmlns:a16="http://schemas.microsoft.com/office/drawing/2014/main" id="{D0B1DF95-700F-4A52-9D4E-188E97B1FDE5}"/>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83040" y="104775"/>
          <a:ext cx="866775" cy="28384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6</xdr:col>
      <xdr:colOff>0</xdr:colOff>
      <xdr:row>0</xdr:row>
      <xdr:rowOff>104775</xdr:rowOff>
    </xdr:from>
    <xdr:to>
      <xdr:col>7</xdr:col>
      <xdr:colOff>104775</xdr:colOff>
      <xdr:row>1</xdr:row>
      <xdr:rowOff>152400</xdr:rowOff>
    </xdr:to>
    <xdr:pic>
      <xdr:nvPicPr>
        <xdr:cNvPr id="2" name="CommandButton1">
          <a:hlinkClick xmlns:r="http://schemas.openxmlformats.org/officeDocument/2006/relationships" r:id="rId1"/>
          <a:extLst>
            <a:ext uri="{FF2B5EF4-FFF2-40B4-BE49-F238E27FC236}">
              <a16:creationId xmlns:a16="http://schemas.microsoft.com/office/drawing/2014/main" id="{DD96863C-2680-4A3B-B97C-F0033BD96F68}"/>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83040" y="104775"/>
          <a:ext cx="866775" cy="28384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6</xdr:col>
      <xdr:colOff>0</xdr:colOff>
      <xdr:row>0</xdr:row>
      <xdr:rowOff>104775</xdr:rowOff>
    </xdr:from>
    <xdr:to>
      <xdr:col>7</xdr:col>
      <xdr:colOff>104775</xdr:colOff>
      <xdr:row>1</xdr:row>
      <xdr:rowOff>152400</xdr:rowOff>
    </xdr:to>
    <xdr:pic>
      <xdr:nvPicPr>
        <xdr:cNvPr id="2" name="CommandButton1">
          <a:hlinkClick xmlns:r="http://schemas.openxmlformats.org/officeDocument/2006/relationships" r:id="rId1"/>
          <a:extLst>
            <a:ext uri="{FF2B5EF4-FFF2-40B4-BE49-F238E27FC236}">
              <a16:creationId xmlns:a16="http://schemas.microsoft.com/office/drawing/2014/main" id="{23747DF4-AAD6-4336-A620-965519FADE9E}"/>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83040" y="104775"/>
          <a:ext cx="866775" cy="28384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6</xdr:col>
      <xdr:colOff>0</xdr:colOff>
      <xdr:row>0</xdr:row>
      <xdr:rowOff>104775</xdr:rowOff>
    </xdr:from>
    <xdr:to>
      <xdr:col>7</xdr:col>
      <xdr:colOff>257175</xdr:colOff>
      <xdr:row>2</xdr:row>
      <xdr:rowOff>53340</xdr:rowOff>
    </xdr:to>
    <xdr:pic>
      <xdr:nvPicPr>
        <xdr:cNvPr id="2" name="CommandButton1">
          <a:hlinkClick xmlns:r="http://schemas.openxmlformats.org/officeDocument/2006/relationships" r:id="rId1"/>
          <a:extLst>
            <a:ext uri="{FF2B5EF4-FFF2-40B4-BE49-F238E27FC236}">
              <a16:creationId xmlns:a16="http://schemas.microsoft.com/office/drawing/2014/main" id="{264862B5-D590-45BF-A788-337948BD0326}"/>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83040" y="104775"/>
          <a:ext cx="866775" cy="28384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6</xdr:col>
      <xdr:colOff>0</xdr:colOff>
      <xdr:row>0</xdr:row>
      <xdr:rowOff>104775</xdr:rowOff>
    </xdr:from>
    <xdr:to>
      <xdr:col>7</xdr:col>
      <xdr:colOff>104775</xdr:colOff>
      <xdr:row>1</xdr:row>
      <xdr:rowOff>152400</xdr:rowOff>
    </xdr:to>
    <xdr:pic>
      <xdr:nvPicPr>
        <xdr:cNvPr id="2" name="CommandButton1">
          <a:hlinkClick xmlns:r="http://schemas.openxmlformats.org/officeDocument/2006/relationships" r:id="rId1"/>
          <a:extLst>
            <a:ext uri="{FF2B5EF4-FFF2-40B4-BE49-F238E27FC236}">
              <a16:creationId xmlns:a16="http://schemas.microsoft.com/office/drawing/2014/main" id="{079283A4-E7A0-4F57-9A9B-18998D214A25}"/>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83040" y="104775"/>
          <a:ext cx="866775" cy="28384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200.103.85\LPP%20Testing\Documents%20and%20Settings\cnalife\Desktop\Moni%20-%20Thinksoft\CSP%20Incidents%2030Sept99\CSP%20Incidents%2030Sept99.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SP UAT Incidents"/>
      <sheetName val="Open CTs and DRs"/>
      <sheetName val="Clear View Tables"/>
      <sheetName val="Summary"/>
      <sheetName val="Summary of Priority vs Status"/>
      <sheetName val="Profile of Raised Incidents"/>
      <sheetName val="Daily Profile"/>
      <sheetName val="Definitions"/>
    </sheetNames>
    <sheetDataSet>
      <sheetData sheetId="0">
        <row r="1">
          <cell r="A1" t="str">
            <v>No</v>
          </cell>
          <cell r="B1" t="str">
            <v>Date</v>
          </cell>
          <cell r="C1" t="str">
            <v>Raiser</v>
          </cell>
          <cell r="D1" t="str">
            <v>E</v>
          </cell>
          <cell r="E1" t="str">
            <v>Typ</v>
          </cell>
          <cell r="F1" t="str">
            <v>Own</v>
          </cell>
          <cell r="G1" t="str">
            <v>Fn</v>
          </cell>
          <cell r="H1" t="str">
            <v>S</v>
          </cell>
          <cell r="I1" t="str">
            <v>P</v>
          </cell>
          <cell r="J1" t="str">
            <v>Status</v>
          </cell>
          <cell r="K1" t="str">
            <v>Description</v>
          </cell>
          <cell r="L1" t="str">
            <v>Ref No</v>
          </cell>
          <cell r="M1" t="str">
            <v>Screen Shots</v>
          </cell>
          <cell r="N1" t="str">
            <v>Comment</v>
          </cell>
          <cell r="O1" t="str">
            <v>Tgt</v>
          </cell>
          <cell r="P1" t="str">
            <v>Rel</v>
          </cell>
        </row>
        <row r="2">
          <cell r="A2">
            <v>1</v>
          </cell>
          <cell r="B2">
            <v>36375</v>
          </cell>
          <cell r="C2" t="str">
            <v>Toda</v>
          </cell>
          <cell r="D2" t="str">
            <v>U</v>
          </cell>
          <cell r="E2" t="str">
            <v>UT</v>
          </cell>
          <cell r="F2" t="str">
            <v>PA</v>
          </cell>
          <cell r="G2" t="str">
            <v>Inq</v>
          </cell>
          <cell r="H2" t="str">
            <v>L</v>
          </cell>
          <cell r="I2" t="str">
            <v>L</v>
          </cell>
          <cell r="J2" t="str">
            <v>Closed</v>
          </cell>
          <cell r="K2" t="str">
            <v>When presented with the Relationship Search results, Japanese names are not displayed in Kanji with Mouse Over.</v>
          </cell>
          <cell r="L2" t="str">
            <v>Tokyo\4.1.1.doc</v>
          </cell>
          <cell r="M2" t="str">
            <v>-</v>
          </cell>
          <cell r="N2" t="str">
            <v>4 Aug99: Dave Koster to test in Tokyo.</v>
          </cell>
          <cell r="O2" t="str">
            <v>P1</v>
          </cell>
          <cell r="P2">
            <v>1.1000000000000001</v>
          </cell>
        </row>
        <row r="3">
          <cell r="A3">
            <v>2</v>
          </cell>
          <cell r="B3">
            <v>36375</v>
          </cell>
          <cell r="C3" t="str">
            <v>Sam</v>
          </cell>
          <cell r="D3" t="str">
            <v>U</v>
          </cell>
          <cell r="E3" t="str">
            <v>CT</v>
          </cell>
          <cell r="F3" t="str">
            <v>SC</v>
          </cell>
          <cell r="G3" t="str">
            <v>Inq</v>
          </cell>
          <cell r="H3" t="str">
            <v>L</v>
          </cell>
          <cell r="I3" t="str">
            <v>M</v>
          </cell>
          <cell r="J3" t="str">
            <v>Closed</v>
          </cell>
          <cell r="K3" t="str">
            <v>In the FxRate screen, all numbers require punctuation. That is, "commas" are required when displaying numbers. 4 Aug 99: Also, the rates and amount are required to be displayed to 5 and 2 decimal points respectively.</v>
          </cell>
          <cell r="L3" t="str">
            <v>-</v>
          </cell>
          <cell r="M3" t="str">
            <v>-</v>
          </cell>
          <cell r="N3" t="str">
            <v>4 Aug 99: Sam is to confirm this. 9 Aug 99: Decimal points resolved. 16 Aug 99: Function removed from Phase 1.</v>
          </cell>
          <cell r="O3" t="str">
            <v>P2</v>
          </cell>
        </row>
        <row r="4">
          <cell r="A4">
            <v>3</v>
          </cell>
          <cell r="B4">
            <v>36375</v>
          </cell>
          <cell r="C4" t="str">
            <v>Sam</v>
          </cell>
          <cell r="D4" t="str">
            <v>U</v>
          </cell>
          <cell r="E4" t="str">
            <v>CT</v>
          </cell>
          <cell r="F4" t="str">
            <v>SC</v>
          </cell>
          <cell r="G4" t="str">
            <v>Inq</v>
          </cell>
          <cell r="H4" t="str">
            <v>L</v>
          </cell>
          <cell r="I4" t="str">
            <v>M</v>
          </cell>
          <cell r="J4" t="str">
            <v>Closed</v>
          </cell>
          <cell r="K4" t="str">
            <v>In FxRates, Buy and Sell rates are displayed. But, the "Mid" is missing. 6Aug99: The spread is also not displayed.</v>
          </cell>
          <cell r="L4" t="str">
            <v>-</v>
          </cell>
          <cell r="M4" t="str">
            <v>-</v>
          </cell>
          <cell r="N4" t="str">
            <v>6 Aug 99: Mid is coming in from PP and is not displayed by CSP. Duplicate of 7. 16 Aug 99: Function removed from Phase 1.</v>
          </cell>
          <cell r="O4" t="str">
            <v>P2</v>
          </cell>
        </row>
        <row r="5">
          <cell r="A5">
            <v>4</v>
          </cell>
          <cell r="B5">
            <v>36375</v>
          </cell>
          <cell r="C5" t="str">
            <v>Sam</v>
          </cell>
          <cell r="D5" t="str">
            <v>U</v>
          </cell>
          <cell r="E5" t="str">
            <v>DR</v>
          </cell>
          <cell r="F5" t="str">
            <v>AW</v>
          </cell>
          <cell r="G5" t="str">
            <v>Inq</v>
          </cell>
          <cell r="H5" t="str">
            <v>M</v>
          </cell>
          <cell r="I5" t="str">
            <v>H</v>
          </cell>
          <cell r="J5" t="str">
            <v>Closed</v>
          </cell>
          <cell r="K5" t="str">
            <v>When displaying FxRates, the Singapore dollars and Deutsche Marks' rates are wrong. CHF is also wrong.</v>
          </cell>
          <cell r="L5" t="str">
            <v>-</v>
          </cell>
          <cell r="M5" t="str">
            <v>-</v>
          </cell>
          <cell r="N5" t="str">
            <v>6 Aug 99: AW to look into SBOS data. 16 Aug 99: The user had decided to defer this to phase II [Aegidia].</v>
          </cell>
          <cell r="O5" t="str">
            <v>P2</v>
          </cell>
        </row>
        <row r="6">
          <cell r="A6">
            <v>5</v>
          </cell>
          <cell r="B6">
            <v>36375</v>
          </cell>
          <cell r="C6" t="str">
            <v>Sam</v>
          </cell>
          <cell r="D6" t="str">
            <v>U</v>
          </cell>
          <cell r="E6" t="str">
            <v>UT</v>
          </cell>
          <cell r="F6" t="str">
            <v>PA</v>
          </cell>
          <cell r="G6" t="str">
            <v>Inq</v>
          </cell>
          <cell r="H6" t="str">
            <v>L</v>
          </cell>
          <cell r="I6" t="str">
            <v>M</v>
          </cell>
          <cell r="J6" t="str">
            <v>Closed</v>
          </cell>
          <cell r="K6" t="str">
            <v>The calendar failed to display all country specific holidays. For example, 9 Aug 99 for Japan and 6 Sep 99 for USA.</v>
          </cell>
          <cell r="L6" t="str">
            <v>-</v>
          </cell>
          <cell r="M6" t="str">
            <v>-</v>
          </cell>
          <cell r="N6" t="str">
            <v>16 Aug 99: Failed verification in v1.2 - 9-Aug-99 was a SGD holiday but it was not shown below [Helen]. 17 Aug 99: The holidays are there in the feed (APHKGSB25H) for 7 July. Manish please investigate [Aegidia]. 18 Aug 99: Fixed today [Manish]. 18 Aug 99:</v>
          </cell>
          <cell r="O6" t="str">
            <v>P1</v>
          </cell>
          <cell r="P6">
            <v>1.2</v>
          </cell>
        </row>
        <row r="7">
          <cell r="A7">
            <v>6</v>
          </cell>
          <cell r="B7">
            <v>36375</v>
          </cell>
          <cell r="C7" t="str">
            <v>Helen</v>
          </cell>
          <cell r="D7" t="str">
            <v>U</v>
          </cell>
          <cell r="E7" t="str">
            <v>UT</v>
          </cell>
          <cell r="F7" t="str">
            <v>PA</v>
          </cell>
          <cell r="G7" t="str">
            <v>Inq</v>
          </cell>
          <cell r="H7" t="str">
            <v>L</v>
          </cell>
          <cell r="I7" t="str">
            <v>M</v>
          </cell>
          <cell r="J7" t="str">
            <v>Closed</v>
          </cell>
          <cell r="K7" t="str">
            <v>Without access to CW, it is not possible to verify that all the relationships are correctly displayed by CSP.</v>
          </cell>
          <cell r="L7" t="str">
            <v>2, 2.1, 2.2 – Home Screen.doc (2)</v>
          </cell>
          <cell r="M7" t="str">
            <v>Incidents 3Aug99\Helen\CSP Incidents Helen.doc</v>
          </cell>
          <cell r="O7" t="str">
            <v>P2</v>
          </cell>
        </row>
        <row r="8">
          <cell r="A8">
            <v>7</v>
          </cell>
          <cell r="B8">
            <v>36375</v>
          </cell>
          <cell r="C8" t="str">
            <v>Helen</v>
          </cell>
          <cell r="D8" t="str">
            <v>U</v>
          </cell>
          <cell r="E8" t="str">
            <v>CT</v>
          </cell>
          <cell r="F8" t="str">
            <v>SC</v>
          </cell>
          <cell r="G8" t="str">
            <v>Inq</v>
          </cell>
          <cell r="H8" t="str">
            <v>L</v>
          </cell>
          <cell r="I8" t="str">
            <v>M</v>
          </cell>
          <cell r="J8" t="str">
            <v>Closed</v>
          </cell>
          <cell r="K8" t="str">
            <v xml:space="preserve">In FxRate: (1) No "Mid: rates for both Tier 1 and Tier 2 are shown. (2) Some rates are incorrect. Eg French Fran. (3) The following hyperlinks are not working (rates not available for the branch/reference currency): (a) Hong Kong Vs USD, (b) Hong Kong Vs </v>
          </cell>
          <cell r="L8" t="str">
            <v>2, 2.1, 2.2 – Home Screen.doc (4)</v>
          </cell>
          <cell r="M8" t="str">
            <v>Incidents 3Aug99\Helen\CSP Incidents Helen.doc</v>
          </cell>
          <cell r="N8" t="str">
            <v>6 Aug 99: Remove these 4 links [Helen]? 10 Aug 99: Retested by Helen: Fail; "Rates are incorrect but similar to source rates (SBOS/SCCY); Mid rates and spread % are still missing! 16 Aug 99: Function removed from Phase 1.</v>
          </cell>
          <cell r="O8" t="str">
            <v>P2</v>
          </cell>
          <cell r="P8">
            <v>1.1000000000000001</v>
          </cell>
        </row>
        <row r="9">
          <cell r="A9">
            <v>8</v>
          </cell>
          <cell r="B9">
            <v>36375</v>
          </cell>
          <cell r="C9" t="str">
            <v>Helen</v>
          </cell>
          <cell r="D9" t="str">
            <v>U</v>
          </cell>
          <cell r="E9" t="str">
            <v>NR</v>
          </cell>
          <cell r="F9" t="str">
            <v>PA</v>
          </cell>
          <cell r="G9" t="str">
            <v>EG</v>
          </cell>
          <cell r="H9" t="str">
            <v>L</v>
          </cell>
          <cell r="I9" t="str">
            <v>M</v>
          </cell>
          <cell r="J9" t="str">
            <v>Closed</v>
          </cell>
          <cell r="K9" t="str">
            <v>In EG Setup, the Entitlement group title is not editable. Further, there is no Entitlement Group Title field for editing on this screen.</v>
          </cell>
          <cell r="L9" t="str">
            <v>-</v>
          </cell>
          <cell r="M9" t="str">
            <v>Incidents 3Aug99\Helen\CSP Incidents Helen.doc</v>
          </cell>
          <cell r="N9" t="str">
            <v>6 Aug 99: Sam's feedback is that we do not edit these [Peter].</v>
          </cell>
          <cell r="O9" t="str">
            <v>P1</v>
          </cell>
          <cell r="P9">
            <v>1</v>
          </cell>
        </row>
        <row r="10">
          <cell r="A10">
            <v>9</v>
          </cell>
          <cell r="B10">
            <v>36375</v>
          </cell>
          <cell r="C10" t="str">
            <v>Helen</v>
          </cell>
          <cell r="D10" t="str">
            <v>U</v>
          </cell>
          <cell r="E10" t="str">
            <v>CT</v>
          </cell>
          <cell r="F10" t="str">
            <v>SC</v>
          </cell>
          <cell r="G10" t="str">
            <v>EG</v>
          </cell>
          <cell r="H10" t="str">
            <v>L</v>
          </cell>
          <cell r="I10" t="str">
            <v>M</v>
          </cell>
          <cell r="J10" t="str">
            <v>Closed</v>
          </cell>
          <cell r="K10" t="str">
            <v>[See 9, 11] After creating an entitlement and while waiting for its authorisation, it is not possible to edit EG type or Member role details. What if there is a mistake in this that needs to be modified?</v>
          </cell>
          <cell r="L10" t="str">
            <v>-</v>
          </cell>
          <cell r="M10" t="str">
            <v>Incidents 3Aug99\Helen\CSP Incidents Helen.doc</v>
          </cell>
          <cell r="N10" t="str">
            <v>12 Aug 99: It is now possible (after release 1.1) to edit the member role and role details text but not the EG type [Helen].</v>
          </cell>
          <cell r="O10" t="str">
            <v>P1</v>
          </cell>
          <cell r="P10">
            <v>1.2</v>
          </cell>
        </row>
        <row r="11">
          <cell r="A11">
            <v>10</v>
          </cell>
          <cell r="B11">
            <v>36375</v>
          </cell>
          <cell r="C11" t="str">
            <v>Helen</v>
          </cell>
          <cell r="D11" t="str">
            <v>U</v>
          </cell>
          <cell r="E11" t="str">
            <v>CT</v>
          </cell>
          <cell r="F11" t="str">
            <v>SC</v>
          </cell>
          <cell r="G11" t="str">
            <v>EG</v>
          </cell>
          <cell r="H11" t="str">
            <v>L</v>
          </cell>
          <cell r="I11" t="str">
            <v>M</v>
          </cell>
          <cell r="J11" t="str">
            <v>Closed</v>
          </cell>
          <cell r="K11" t="str">
            <v>[See 212] When displaying PF Overview for only Portfolio Accounts, no security holdings or Off-Unit holdings should be displayed.</v>
          </cell>
          <cell r="L11" t="str">
            <v>-</v>
          </cell>
          <cell r="M11" t="str">
            <v>Incidents 3Aug99\Helen\CSP Incidents Helen.doc</v>
          </cell>
          <cell r="N11" t="str">
            <v>6 Aug 99: Helen and Sandeep to discuss off-line. 6 Aug 99: Requirements clarified [Helen]. 14 Aug: Duplicate of 212. 16 Aug 99: Helen, Sandeep and Pankaj discussed off line [Helen]. 23 Aug 99: Changed from DI to CT [Sam]. 30 Aug 99: Verified fix in v1.4 [</v>
          </cell>
          <cell r="O11" t="str">
            <v>P1</v>
          </cell>
          <cell r="P11">
            <v>1.4</v>
          </cell>
        </row>
        <row r="12">
          <cell r="A12">
            <v>11</v>
          </cell>
          <cell r="B12">
            <v>36375</v>
          </cell>
          <cell r="C12" t="str">
            <v>Helen</v>
          </cell>
          <cell r="D12" t="str">
            <v>U</v>
          </cell>
          <cell r="E12" t="str">
            <v>CT</v>
          </cell>
          <cell r="F12" t="str">
            <v>SC</v>
          </cell>
          <cell r="G12" t="str">
            <v>EG</v>
          </cell>
          <cell r="H12" t="str">
            <v>M</v>
          </cell>
          <cell r="I12" t="str">
            <v>H</v>
          </cell>
          <cell r="J12" t="str">
            <v>Closed</v>
          </cell>
          <cell r="K12" t="str">
            <v>[See 9, 218, 224, 226] Only checker is allowed to have the overview. Maker should also be given the facility to view all setup for his/her client and should also be able to modify unauthorised transaction.</v>
          </cell>
          <cell r="L12" t="str">
            <v>-</v>
          </cell>
          <cell r="M12" t="str">
            <v>Incidents 3Aug99\Helen\CSP Incidents Helen.doc</v>
          </cell>
          <cell r="N12" t="str">
            <v>10 Aug 99: Retested by Helen: Failed; On re-testing incident 147 is encountered. 11 Aug 99: Discuss with Helen the functionality of UnAuth edit [Pankaj]. 12 Aug 99: Helen verified fix but like to confirm in view of the above comment [Bharat]. 12 Aug99: Pa</v>
          </cell>
          <cell r="O12" t="str">
            <v>P1</v>
          </cell>
          <cell r="P12">
            <v>1.1000000000000001</v>
          </cell>
        </row>
        <row r="13">
          <cell r="A13">
            <v>12</v>
          </cell>
          <cell r="B13">
            <v>36375</v>
          </cell>
          <cell r="C13" t="str">
            <v>Helen</v>
          </cell>
          <cell r="D13" t="str">
            <v>U</v>
          </cell>
          <cell r="E13" t="str">
            <v>NR</v>
          </cell>
          <cell r="F13" t="str">
            <v>PA</v>
          </cell>
          <cell r="G13" t="str">
            <v>EG</v>
          </cell>
          <cell r="H13" t="str">
            <v>M</v>
          </cell>
          <cell r="I13" t="str">
            <v>H</v>
          </cell>
          <cell r="J13" t="str">
            <v>Closed</v>
          </cell>
          <cell r="K13" t="str">
            <v>[See 76] While performing the EG setup, maker has logged out 2 times during the day. It seems that transactions are broken down by relationship as well as by the logon session. We would prefer to have transactions grouped by relationship name regardless o</v>
          </cell>
          <cell r="L13" t="str">
            <v>-</v>
          </cell>
          <cell r="M13" t="str">
            <v>Incidents 3Aug99\Helen\CSP Incidents Helen.doc</v>
          </cell>
          <cell r="N13" t="str">
            <v>6 Aug 99: Sandeep is to estimate the effort involved in implementing this change. 18 Aug 99: Users have agreed to have batch approval grouped by logon session for a relationship [Helen].</v>
          </cell>
          <cell r="O13" t="str">
            <v>P1</v>
          </cell>
          <cell r="P13">
            <v>1.2</v>
          </cell>
        </row>
        <row r="14">
          <cell r="A14">
            <v>13</v>
          </cell>
          <cell r="B14">
            <v>36375</v>
          </cell>
          <cell r="C14" t="str">
            <v>Helen</v>
          </cell>
          <cell r="D14" t="str">
            <v>U</v>
          </cell>
          <cell r="E14" t="str">
            <v>CT</v>
          </cell>
          <cell r="F14" t="str">
            <v>SC</v>
          </cell>
          <cell r="G14" t="str">
            <v>EG</v>
          </cell>
          <cell r="H14" t="str">
            <v>L</v>
          </cell>
          <cell r="I14" t="str">
            <v>M</v>
          </cell>
          <cell r="J14" t="str">
            <v>Closed</v>
          </cell>
          <cell r="K14" t="str">
            <v xml:space="preserve">[See 148] Reports: Two transactions were created. The 2nd EG maintenance transaction was rejected. A report on EG maintenance is then requested with the filter set to “rejected”. However, the following message is given when attempting to view the report. </v>
          </cell>
          <cell r="L14" t="str">
            <v>-</v>
          </cell>
          <cell r="M14" t="str">
            <v>Incidents 3Aug99\Helen\CSP Incidents Helen.doc</v>
          </cell>
          <cell r="N14" t="str">
            <v>9 Aug 99: Fixed in v1.1. 10 Aug 99: Retested by Helen: Failed; On re-testing, report is shown with missing information (see incident 144?). 16 Aug 99: Refixed in v1.2. 16 Aug 99: Failed verification in v1.2 - The fields “Location” and “Description” should</v>
          </cell>
          <cell r="O14" t="str">
            <v>P1</v>
          </cell>
          <cell r="P14">
            <v>1.2</v>
          </cell>
        </row>
        <row r="15">
          <cell r="A15">
            <v>14</v>
          </cell>
          <cell r="B15">
            <v>36375</v>
          </cell>
          <cell r="C15" t="str">
            <v>Helen</v>
          </cell>
          <cell r="D15" t="str">
            <v>U</v>
          </cell>
          <cell r="E15" t="str">
            <v>CT</v>
          </cell>
          <cell r="F15" t="str">
            <v>SC</v>
          </cell>
          <cell r="G15" t="str">
            <v>EG</v>
          </cell>
          <cell r="H15" t="str">
            <v>M</v>
          </cell>
          <cell r="I15" t="str">
            <v>H</v>
          </cell>
          <cell r="J15" t="str">
            <v>Closed</v>
          </cell>
          <cell r="K15" t="str">
            <v>In EG Setup’s Report option, an incorrect error message is displayed when the start and end dates are the same: “Start date cannot be greater than end date”.</v>
          </cell>
          <cell r="L15" t="str">
            <v>-</v>
          </cell>
          <cell r="M15" t="str">
            <v>Incidents 3Aug99\Helen\CSP Incidents Helen.doc</v>
          </cell>
          <cell r="N15" t="str">
            <v>10 Aug 99: Retested by Helen: Passed.</v>
          </cell>
          <cell r="O15" t="str">
            <v>P1</v>
          </cell>
          <cell r="P15">
            <v>1.1000000000000001</v>
          </cell>
        </row>
        <row r="16">
          <cell r="A16">
            <v>15</v>
          </cell>
          <cell r="B16">
            <v>36375</v>
          </cell>
          <cell r="C16" t="str">
            <v>Helen</v>
          </cell>
          <cell r="D16" t="str">
            <v>U</v>
          </cell>
          <cell r="E16" t="str">
            <v>CT</v>
          </cell>
          <cell r="F16" t="str">
            <v>SC</v>
          </cell>
          <cell r="G16" t="str">
            <v>EG</v>
          </cell>
          <cell r="H16" t="str">
            <v>X</v>
          </cell>
          <cell r="I16" t="str">
            <v>X</v>
          </cell>
          <cell r="J16" t="str">
            <v>Closed</v>
          </cell>
          <cell r="K16" t="str">
            <v>EG Report – a RSO is allowed to see report which contains other team’s relationships. For example, an RSO in Tokyo is able to see data from Singapore.</v>
          </cell>
          <cell r="L16" t="str">
            <v>-</v>
          </cell>
          <cell r="M16" t="str">
            <v>Incidents 3Aug99\Helen\CSP Incidents Helen.doc</v>
          </cell>
          <cell r="N16" t="str">
            <v>10 Aug 99: Retested by Helen: Passed.</v>
          </cell>
          <cell r="O16" t="str">
            <v>P1</v>
          </cell>
          <cell r="P16">
            <v>1.1000000000000001</v>
          </cell>
        </row>
        <row r="17">
          <cell r="A17">
            <v>16</v>
          </cell>
          <cell r="B17">
            <v>36375</v>
          </cell>
          <cell r="C17" t="str">
            <v>Miranda</v>
          </cell>
          <cell r="D17" t="str">
            <v>U</v>
          </cell>
          <cell r="E17" t="str">
            <v>DR</v>
          </cell>
          <cell r="F17" t="str">
            <v>AW</v>
          </cell>
          <cell r="G17" t="str">
            <v>EG</v>
          </cell>
          <cell r="H17" t="str">
            <v>L</v>
          </cell>
          <cell r="I17" t="str">
            <v>M</v>
          </cell>
          <cell r="J17" t="str">
            <v>Closed</v>
          </cell>
          <cell r="K17" t="str">
            <v>Sometimes, two records are displayed for the same relationship.</v>
          </cell>
          <cell r="L17" t="str">
            <v>-</v>
          </cell>
          <cell r="M17" t="str">
            <v>Incidents 3Aug99\Miranda\CSP Incidents Miranda.doc</v>
          </cell>
          <cell r="N17" t="str">
            <v>6 Aug 99: CW cleanup required; CSP displays data correctly.</v>
          </cell>
          <cell r="O17" t="str">
            <v>P1</v>
          </cell>
          <cell r="P17">
            <v>1</v>
          </cell>
        </row>
        <row r="18">
          <cell r="A18">
            <v>17</v>
          </cell>
          <cell r="B18">
            <v>36375</v>
          </cell>
          <cell r="C18" t="str">
            <v>Miranda</v>
          </cell>
          <cell r="D18" t="str">
            <v>U</v>
          </cell>
          <cell r="E18" t="str">
            <v>CT</v>
          </cell>
          <cell r="F18" t="str">
            <v>SC</v>
          </cell>
          <cell r="G18" t="str">
            <v>Inq</v>
          </cell>
          <cell r="H18" t="str">
            <v>L</v>
          </cell>
          <cell r="I18" t="str">
            <v>L</v>
          </cell>
          <cell r="J18" t="str">
            <v>Closed</v>
          </cell>
          <cell r="K18" t="str">
            <v>[See 17] Font changes when clicking the Back button from Relationship details screen.</v>
          </cell>
          <cell r="L18" t="str">
            <v>-</v>
          </cell>
          <cell r="M18" t="str">
            <v>..\SCREEN SHOTS\Incidents 26 Aug\Miranda\CSP UAT Incidents on Aug. 24 - MC.doc</v>
          </cell>
          <cell r="N18" t="str">
            <v>24 Aug 99: Miranda to retest [Sam] 26 Aug 99: Re-test failed [Miranda]. 30 Aug 99: Fix verified in v 1.4 [Miranda].</v>
          </cell>
          <cell r="O18" t="str">
            <v>P1</v>
          </cell>
          <cell r="P18">
            <v>1.2</v>
          </cell>
        </row>
        <row r="19">
          <cell r="A19">
            <v>18</v>
          </cell>
          <cell r="B19">
            <v>36375</v>
          </cell>
          <cell r="C19" t="str">
            <v>Miranda</v>
          </cell>
          <cell r="D19" t="str">
            <v>U</v>
          </cell>
          <cell r="E19" t="str">
            <v>CT</v>
          </cell>
          <cell r="F19" t="str">
            <v>SC</v>
          </cell>
          <cell r="G19" t="str">
            <v>EG</v>
          </cell>
          <cell r="H19" t="str">
            <v>L</v>
          </cell>
          <cell r="I19" t="str">
            <v>M</v>
          </cell>
          <cell r="J19" t="str">
            <v>Closed</v>
          </cell>
          <cell r="K19" t="str">
            <v>The “Enter Link Number” field from “ Add Link” screen is not being cleared upon clicking the “save and next” button.</v>
          </cell>
          <cell r="L19" t="str">
            <v>-</v>
          </cell>
          <cell r="M19" t="str">
            <v>..\SCREEN SHOTS\Incidents 26 Aug\Miranda\CSP UAT Incidents on Aug. 24 - MC.doc</v>
          </cell>
          <cell r="N19" t="str">
            <v>13 Aug 99: Re-test required. 18 Aug 99: Verified fix in v1.2 [Miranda]. 26 Aug 99: Verified by Miranda.</v>
          </cell>
          <cell r="O19" t="str">
            <v>P1</v>
          </cell>
          <cell r="P19">
            <v>1.1000000000000001</v>
          </cell>
        </row>
        <row r="20">
          <cell r="A20">
            <v>19</v>
          </cell>
          <cell r="B20">
            <v>36375</v>
          </cell>
          <cell r="C20" t="str">
            <v>Miranda</v>
          </cell>
          <cell r="D20" t="str">
            <v>U</v>
          </cell>
          <cell r="E20" t="str">
            <v>UT</v>
          </cell>
          <cell r="F20" t="str">
            <v>PA</v>
          </cell>
          <cell r="G20" t="str">
            <v>EG</v>
          </cell>
          <cell r="H20" t="str">
            <v>L</v>
          </cell>
          <cell r="I20" t="str">
            <v>L</v>
          </cell>
          <cell r="J20" t="str">
            <v>Closed</v>
          </cell>
          <cell r="K20" t="str">
            <v>On the “Add Link”, force an error Message Box. This message box cannot be moved on the screen cleanly; it leaves a “ghost” image behind.</v>
          </cell>
          <cell r="L20" t="str">
            <v>-</v>
          </cell>
          <cell r="M20" t="str">
            <v>Incidents 3Aug99\Miranda\CSP Incidents Miranda.doc</v>
          </cell>
          <cell r="N20" t="str">
            <v>6 Aug 99: Base number is displayed in the message box [Sandeep]. 26 Aug 99: Ghosting has been resolved [Miranda].</v>
          </cell>
          <cell r="O20" t="str">
            <v>P1</v>
          </cell>
          <cell r="P20">
            <v>1.3</v>
          </cell>
        </row>
        <row r="21">
          <cell r="A21">
            <v>20</v>
          </cell>
          <cell r="B21">
            <v>36375</v>
          </cell>
          <cell r="C21" t="str">
            <v>Miranda</v>
          </cell>
          <cell r="D21" t="str">
            <v>U</v>
          </cell>
          <cell r="E21" t="str">
            <v>CT</v>
          </cell>
          <cell r="F21" t="str">
            <v>SC</v>
          </cell>
          <cell r="G21" t="str">
            <v>EG</v>
          </cell>
          <cell r="H21" t="str">
            <v>M</v>
          </cell>
          <cell r="I21" t="str">
            <v>H</v>
          </cell>
          <cell r="J21" t="str">
            <v>Closed</v>
          </cell>
          <cell r="K21" t="str">
            <v>[See 21, 220, 229] Sometimes, the following error is displayed when clicking “EG Setup” and entering a last name and then clicking Search: “ An Error Has Occurred. Support key EG00009810561999080311:15:00 Null Pointer java.lang.NullPointerEXception in Leg</v>
          </cell>
          <cell r="L21" t="str">
            <v>-</v>
          </cell>
          <cell r="M21" t="str">
            <v>Incidents 3Aug99\Miranda\CSP Incidents Miranda.doc</v>
          </cell>
          <cell r="N21" t="str">
            <v>Re-test required. 17 Aug 99: Verified by Miranda in v1.2.</v>
          </cell>
          <cell r="O21" t="str">
            <v>P1</v>
          </cell>
          <cell r="P21">
            <v>1.1000000000000001</v>
          </cell>
        </row>
        <row r="22">
          <cell r="A22">
            <v>21</v>
          </cell>
          <cell r="B22">
            <v>36375</v>
          </cell>
          <cell r="C22" t="str">
            <v>Miranda</v>
          </cell>
          <cell r="D22" t="str">
            <v>U</v>
          </cell>
          <cell r="E22" t="str">
            <v>CT</v>
          </cell>
          <cell r="F22" t="str">
            <v>SC</v>
          </cell>
          <cell r="G22" t="str">
            <v>EG</v>
          </cell>
          <cell r="H22" t="str">
            <v>M</v>
          </cell>
          <cell r="I22" t="str">
            <v>H</v>
          </cell>
          <cell r="J22" t="str">
            <v>Dup</v>
          </cell>
          <cell r="K22" t="str">
            <v>[See 20] From “EG Setup’s” “Add Link” screen, entering a valid account number displayed the following error: An Error Has Occurred Support key EG00009810561999080311:15:00 Error in case 4 of CreateObject servlet Exception java.lang.NullPointerException”.</v>
          </cell>
          <cell r="L22" t="str">
            <v>-</v>
          </cell>
          <cell r="M22" t="str">
            <v>Incidents 3Aug99\Miranda\CSP Incidents Miranda.doc</v>
          </cell>
          <cell r="N22" t="str">
            <v>6 Aug 99: Duplicate of 20. 24 Aug 99: 20 is closed.</v>
          </cell>
          <cell r="O22" t="str">
            <v>P1</v>
          </cell>
          <cell r="P22">
            <v>1.1000000000000001</v>
          </cell>
        </row>
        <row r="23">
          <cell r="A23">
            <v>22</v>
          </cell>
          <cell r="B23">
            <v>36375</v>
          </cell>
          <cell r="C23" t="str">
            <v>Miranda</v>
          </cell>
          <cell r="D23" t="str">
            <v>U</v>
          </cell>
          <cell r="E23" t="str">
            <v>CT</v>
          </cell>
          <cell r="F23" t="str">
            <v>SC</v>
          </cell>
          <cell r="G23" t="str">
            <v>EG</v>
          </cell>
          <cell r="H23" t="str">
            <v>L</v>
          </cell>
          <cell r="I23" t="str">
            <v>L</v>
          </cell>
          <cell r="J23" t="str">
            <v>Closed</v>
          </cell>
          <cell r="K23" t="str">
            <v>In “Eg Setup’s” “Add Link” screen the “Select Product” listbox’s order should be Multibranch-Hong Kong , GCB Account – Hong Kong then Credit card – Hong Kong.</v>
          </cell>
          <cell r="L23" t="str">
            <v>-</v>
          </cell>
          <cell r="M23" t="str">
            <v>Incidents 3Aug99\Miranda\CSP Incidents Miranda.doc</v>
          </cell>
          <cell r="N23" t="str">
            <v>16 Aug 99: Failed verification in v1.2 - There is only one value (Multibranch – Hong Kong) in the picklist [Helen]. 18 Aug 99: Verified fix in v1.2 [Miranda].</v>
          </cell>
          <cell r="O23" t="str">
            <v>P1</v>
          </cell>
          <cell r="P23">
            <v>1.1000000000000001</v>
          </cell>
        </row>
        <row r="24">
          <cell r="A24">
            <v>23</v>
          </cell>
          <cell r="B24">
            <v>36375</v>
          </cell>
          <cell r="C24" t="str">
            <v>Miranda</v>
          </cell>
          <cell r="D24" t="str">
            <v>U</v>
          </cell>
          <cell r="E24" t="str">
            <v>UM</v>
          </cell>
          <cell r="F24" t="str">
            <v>PA</v>
          </cell>
          <cell r="G24" t="str">
            <v>Inq</v>
          </cell>
          <cell r="H24" t="str">
            <v>M</v>
          </cell>
          <cell r="I24" t="str">
            <v>H</v>
          </cell>
          <cell r="J24" t="str">
            <v>Auth</v>
          </cell>
          <cell r="K24" t="str">
            <v>In the Report’s “Currency” listbox some of the currencies do not have the full description. For example, HKG, ISK, MOP. In some cases there is a wrong description such as for JPY.</v>
          </cell>
          <cell r="L24" t="str">
            <v>-</v>
          </cell>
          <cell r="M24" t="str">
            <v>Incidents 3Aug99\Miranda\CSP Incidents Miranda.doc</v>
          </cell>
          <cell r="N24" t="str">
            <v>2 Sep 99: Should be Phase 1 not Phase 2 [Sam].</v>
          </cell>
          <cell r="O24" t="str">
            <v>P1</v>
          </cell>
        </row>
        <row r="25">
          <cell r="A25">
            <v>24</v>
          </cell>
          <cell r="B25">
            <v>36375</v>
          </cell>
          <cell r="C25" t="str">
            <v>Andrew</v>
          </cell>
          <cell r="D25" t="str">
            <v>U</v>
          </cell>
          <cell r="E25" t="str">
            <v>CT</v>
          </cell>
          <cell r="F25" t="str">
            <v>SC</v>
          </cell>
          <cell r="G25" t="str">
            <v>EG</v>
          </cell>
          <cell r="H25" t="str">
            <v>M</v>
          </cell>
          <cell r="I25" t="str">
            <v>H</v>
          </cell>
          <cell r="J25" t="str">
            <v>Closed</v>
          </cell>
          <cell r="K25" t="str">
            <v>In the “Approve Batch Overview” screen the description of the last item is missing.</v>
          </cell>
          <cell r="L25" t="str">
            <v>-</v>
          </cell>
          <cell r="M25" t="str">
            <v>Incidents 3Aug99\Andrew\CSP Incident Andrew.doc</v>
          </cell>
          <cell r="N25" t="str">
            <v>10 Aug 99: Verified by Andrew: cannot recreate 9 items; used 4 instead for verification.</v>
          </cell>
          <cell r="O25" t="str">
            <v>P1</v>
          </cell>
          <cell r="P25">
            <v>1.1000000000000001</v>
          </cell>
        </row>
        <row r="26">
          <cell r="A26">
            <v>25</v>
          </cell>
          <cell r="B26">
            <v>36375</v>
          </cell>
          <cell r="C26" t="str">
            <v>Andrew</v>
          </cell>
          <cell r="D26" t="str">
            <v>U</v>
          </cell>
          <cell r="E26" t="str">
            <v>CT</v>
          </cell>
          <cell r="F26" t="str">
            <v>SC</v>
          </cell>
          <cell r="G26" t="str">
            <v>EG</v>
          </cell>
          <cell r="H26" t="str">
            <v>M</v>
          </cell>
          <cell r="I26" t="str">
            <v>H</v>
          </cell>
          <cell r="J26" t="str">
            <v>Closed</v>
          </cell>
          <cell r="K26" t="str">
            <v>When there are many items in the “Approve Batch Overview” screen, the Mouse Over on each of the Description does not correctly display the full description. For example, only the first item’s description is correctly displayed. After the first item, all o</v>
          </cell>
          <cell r="L26" t="str">
            <v>-</v>
          </cell>
          <cell r="M26" t="str">
            <v>Incidents 3Aug99\Andrew\CSP Incident Andrew.doc</v>
          </cell>
          <cell r="N26" t="str">
            <v>10 Aug 99: Verified by Andrew: cannot recreate 9 items; used 4 instead for verification.</v>
          </cell>
          <cell r="O26" t="str">
            <v>P1</v>
          </cell>
          <cell r="P26">
            <v>1.1000000000000001</v>
          </cell>
        </row>
        <row r="27">
          <cell r="A27">
            <v>26</v>
          </cell>
          <cell r="B27">
            <v>36375</v>
          </cell>
          <cell r="C27" t="str">
            <v>Andrew</v>
          </cell>
          <cell r="D27" t="str">
            <v>U</v>
          </cell>
          <cell r="E27" t="str">
            <v>CT</v>
          </cell>
          <cell r="F27" t="str">
            <v>SC</v>
          </cell>
          <cell r="G27" t="str">
            <v>EG</v>
          </cell>
          <cell r="H27" t="str">
            <v>M</v>
          </cell>
          <cell r="I27" t="str">
            <v>H</v>
          </cell>
          <cell r="J27" t="str">
            <v>Closed</v>
          </cell>
          <cell r="K27" t="str">
            <v>A GEG is correctly created (from PC1) and then appropriately authorised from a second PC (PC2). However, when the user goes to Create/Update (PC1), the Unauthorised flag is still there. By going to Home and then EG setup it did not help. But, when the use</v>
          </cell>
          <cell r="L27" t="str">
            <v>-</v>
          </cell>
          <cell r="M27" t="str">
            <v>Incidents 3Aug99\Andrew\CSP Incident Andrew.doc</v>
          </cell>
          <cell r="N27" t="str">
            <v>10 Aug 99: Verified by Andrew: Failed verification in v1.2. 23 Aug 99: Fixed in v1.3 [Sandeep]. Verified fix in v1.3 [Andrew].</v>
          </cell>
          <cell r="O27" t="str">
            <v>P1</v>
          </cell>
          <cell r="P27">
            <v>1.3</v>
          </cell>
        </row>
        <row r="28">
          <cell r="A28">
            <v>27</v>
          </cell>
          <cell r="B28">
            <v>36375</v>
          </cell>
          <cell r="C28" t="str">
            <v>Andrew</v>
          </cell>
          <cell r="D28" t="str">
            <v>U</v>
          </cell>
          <cell r="E28" t="str">
            <v>CT</v>
          </cell>
          <cell r="F28" t="str">
            <v>SC</v>
          </cell>
          <cell r="G28" t="str">
            <v>EG</v>
          </cell>
          <cell r="H28" t="str">
            <v>M</v>
          </cell>
          <cell r="I28" t="str">
            <v>H</v>
          </cell>
          <cell r="J28" t="str">
            <v>Closed</v>
          </cell>
          <cell r="K28" t="str">
            <v>Sometimes, the following error is displayed when clicking “EG Setup” and entering a last name and then clicking Search: “ An Error Has Occurred. Support key EG00009810561999080311:15:00 Null Pointer java.lang.NullPointerEXception in Leg is populated Locob</v>
          </cell>
          <cell r="L28" t="str">
            <v>-</v>
          </cell>
          <cell r="M28" t="str">
            <v>Incidents 3Aug99\Andrew\CSP Incident Andrew.doc</v>
          </cell>
          <cell r="N28" t="str">
            <v>6 Aug 99: Duplicate of 20. 16 Aug 99: Verified by Andrew in v1.2.</v>
          </cell>
          <cell r="O28" t="str">
            <v>P1</v>
          </cell>
          <cell r="P28">
            <v>1.1000000000000001</v>
          </cell>
        </row>
        <row r="29">
          <cell r="A29">
            <v>28</v>
          </cell>
          <cell r="B29">
            <v>36375</v>
          </cell>
          <cell r="C29" t="str">
            <v>Andrew</v>
          </cell>
          <cell r="D29" t="str">
            <v>U</v>
          </cell>
          <cell r="E29" t="str">
            <v>CT</v>
          </cell>
          <cell r="F29" t="str">
            <v>SC</v>
          </cell>
          <cell r="G29" t="str">
            <v>EG</v>
          </cell>
          <cell r="H29" t="str">
            <v>L</v>
          </cell>
          <cell r="I29" t="str">
            <v>L</v>
          </cell>
          <cell r="J29" t="str">
            <v>Closed</v>
          </cell>
          <cell r="K29" t="str">
            <v>[See 145] The list in “Select Location” listbox (“Create New EG” screen) is not sorted, making it harder to find the location.</v>
          </cell>
          <cell r="L29" t="str">
            <v>-</v>
          </cell>
          <cell r="M29" t="str">
            <v>Incidents 3Aug99\Andrew\CSP Incident Andrew.doc</v>
          </cell>
          <cell r="N29" t="str">
            <v>10 Aug 99: Verified fix by Andrew.</v>
          </cell>
          <cell r="O29" t="str">
            <v>P1</v>
          </cell>
          <cell r="P29">
            <v>1.1000000000000001</v>
          </cell>
        </row>
        <row r="30">
          <cell r="A30">
            <v>29</v>
          </cell>
          <cell r="B30">
            <v>36376</v>
          </cell>
          <cell r="C30" t="str">
            <v>Sam</v>
          </cell>
          <cell r="D30" t="str">
            <v>U</v>
          </cell>
          <cell r="E30" t="str">
            <v>NR</v>
          </cell>
          <cell r="F30" t="str">
            <v>PA</v>
          </cell>
          <cell r="G30" t="str">
            <v>Inq</v>
          </cell>
          <cell r="H30" t="str">
            <v>L</v>
          </cell>
          <cell r="I30" t="str">
            <v>L</v>
          </cell>
          <cell r="J30" t="str">
            <v>Auth</v>
          </cell>
          <cell r="K30" t="str">
            <v>[See 333]. When displaying message box, distinguish between informational, warning and error.</v>
          </cell>
          <cell r="L30" t="str">
            <v>-</v>
          </cell>
          <cell r="M30" t="str">
            <v>-</v>
          </cell>
          <cell r="N30" t="str">
            <v>6 Aug 99: Sandeep is to size the effort.</v>
          </cell>
          <cell r="O30" t="str">
            <v>P2</v>
          </cell>
        </row>
        <row r="31">
          <cell r="A31">
            <v>30</v>
          </cell>
          <cell r="B31">
            <v>36376</v>
          </cell>
          <cell r="C31" t="str">
            <v>Miranda</v>
          </cell>
          <cell r="D31" t="str">
            <v>U</v>
          </cell>
          <cell r="E31" t="str">
            <v>CT</v>
          </cell>
          <cell r="F31" t="str">
            <v>SC</v>
          </cell>
          <cell r="G31" t="str">
            <v>Inq</v>
          </cell>
          <cell r="H31" t="str">
            <v>M</v>
          </cell>
          <cell r="I31" t="str">
            <v>H</v>
          </cell>
          <cell r="J31" t="str">
            <v>Closed</v>
          </cell>
          <cell r="K31" t="str">
            <v>[See 73] The “session interrupted” message appears when clicking the “Action Items” on the “Search Member” screen.</v>
          </cell>
          <cell r="L31" t="str">
            <v>-</v>
          </cell>
          <cell r="M31" t="str">
            <v>Incidents 4Aug99\Miranda\CSP UAT INCIDENTS ON AUG.4.doc</v>
          </cell>
          <cell r="N31" t="str">
            <v>10 Aug 99: Retested by Helen (also by Miranda); Failed. 17 Aug 99: Verified by Miranda in v1.2.</v>
          </cell>
          <cell r="O31" t="str">
            <v>P1</v>
          </cell>
          <cell r="P31">
            <v>1.1000000000000001</v>
          </cell>
        </row>
        <row r="32">
          <cell r="A32">
            <v>31</v>
          </cell>
          <cell r="B32">
            <v>36376</v>
          </cell>
          <cell r="C32" t="str">
            <v>Miranda</v>
          </cell>
          <cell r="D32" t="str">
            <v>U</v>
          </cell>
          <cell r="E32" t="str">
            <v>CT</v>
          </cell>
          <cell r="F32" t="str">
            <v>SC</v>
          </cell>
          <cell r="G32" t="str">
            <v>SCL</v>
          </cell>
          <cell r="H32" t="str">
            <v>L</v>
          </cell>
          <cell r="I32" t="str">
            <v>M</v>
          </cell>
          <cell r="J32" t="str">
            <v>Closed</v>
          </cell>
          <cell r="K32" t="str">
            <v>Name of Lead banker and lead RSO should be displayed on the SCL Data Input form. Suggest to have another input field for the telephone extension number when we select telephone. Who is to initiate the action item? Suggest to default by inputter and may be</v>
          </cell>
          <cell r="L32" t="str">
            <v>-</v>
          </cell>
          <cell r="M32" t="str">
            <v>Incidents 4Aug99\Miranda\CSP UAT INCIDENTS ON AUG.4.doc</v>
          </cell>
          <cell r="N32" t="str">
            <v>6Aug99: Only the "displaying of Lead Banker and RSO" is to be implemented. 18 Aug 99: Verified fix in v1.2 [Miranda].</v>
          </cell>
          <cell r="O32" t="str">
            <v>P1</v>
          </cell>
          <cell r="P32">
            <v>1.1000000000000001</v>
          </cell>
        </row>
        <row r="33">
          <cell r="A33">
            <v>32</v>
          </cell>
          <cell r="B33">
            <v>36376</v>
          </cell>
          <cell r="C33" t="str">
            <v>Miranda</v>
          </cell>
          <cell r="D33" t="str">
            <v>U</v>
          </cell>
          <cell r="E33" t="str">
            <v>UM</v>
          </cell>
          <cell r="F33" t="str">
            <v>PA</v>
          </cell>
          <cell r="G33" t="str">
            <v>SCL</v>
          </cell>
          <cell r="H33" t="str">
            <v>L</v>
          </cell>
          <cell r="I33" t="str">
            <v>L</v>
          </cell>
          <cell r="J33" t="str">
            <v>Closed</v>
          </cell>
          <cell r="K33" t="str">
            <v>On the SCL Data Input form the priority of selection should be Telephone, Fax, Letter, In-Person, E-Mail, Telex.</v>
          </cell>
          <cell r="L33" t="str">
            <v>-</v>
          </cell>
          <cell r="M33" t="str">
            <v>Incidents 4Aug99\Miranda\CSP UAT INCIDENTS ON AUG.4.doc</v>
          </cell>
          <cell r="N33" t="str">
            <v>16 Aug 99: Verified fix in v1.2 [Helen, Miranda].</v>
          </cell>
          <cell r="O33" t="str">
            <v>P1</v>
          </cell>
          <cell r="P33">
            <v>1.1000000000000001</v>
          </cell>
        </row>
        <row r="34">
          <cell r="A34">
            <v>33</v>
          </cell>
          <cell r="B34">
            <v>36376</v>
          </cell>
          <cell r="C34" t="str">
            <v>Miranda</v>
          </cell>
          <cell r="D34" t="str">
            <v>U</v>
          </cell>
          <cell r="E34" t="str">
            <v>CT</v>
          </cell>
          <cell r="F34" t="str">
            <v>SC</v>
          </cell>
          <cell r="G34" t="str">
            <v>SCL</v>
          </cell>
          <cell r="H34" t="str">
            <v>L</v>
          </cell>
          <cell r="I34" t="str">
            <v>L</v>
          </cell>
          <cell r="J34" t="str">
            <v>Closed</v>
          </cell>
          <cell r="K34" t="str">
            <v>[See 74] On the SCL Data Input form, the contact listbox should at least display ten items in each similar field. Not all the items in the list are displayed consistently.</v>
          </cell>
          <cell r="L34" t="str">
            <v>-</v>
          </cell>
          <cell r="M34" t="str">
            <v>Incidents 4Aug99\Miranda\CSP UAT INCIDENTS ON AUG.4.doc</v>
          </cell>
          <cell r="N34" t="str">
            <v>16 Aug 99: Verified fix in v1.2 [Helen, Miranda].</v>
          </cell>
          <cell r="O34" t="str">
            <v>P1</v>
          </cell>
          <cell r="P34">
            <v>1.2</v>
          </cell>
        </row>
        <row r="35">
          <cell r="A35">
            <v>34</v>
          </cell>
          <cell r="B35">
            <v>36376</v>
          </cell>
          <cell r="C35" t="str">
            <v>Miranda</v>
          </cell>
          <cell r="D35" t="str">
            <v>U</v>
          </cell>
          <cell r="E35" t="str">
            <v>UM</v>
          </cell>
          <cell r="F35" t="str">
            <v>PA</v>
          </cell>
          <cell r="G35" t="str">
            <v>SCL</v>
          </cell>
          <cell r="H35" t="str">
            <v>L</v>
          </cell>
          <cell r="I35" t="str">
            <v>L</v>
          </cell>
          <cell r="J35" t="str">
            <v>Auth</v>
          </cell>
          <cell r="K35" t="str">
            <v>The “Responsible For” field in the SCL Data Input form should be pre-populated from other sources. Currently, this is totally blank. Is this a User Maintainable field or will this be populated via other product processors?</v>
          </cell>
          <cell r="L35" t="str">
            <v>-</v>
          </cell>
          <cell r="M35" t="str">
            <v>Incidents 4Aug99\Miranda\CSP UAT INCIDENTS ON AUG.4.doc</v>
          </cell>
          <cell r="O35" t="str">
            <v>P2</v>
          </cell>
        </row>
        <row r="36">
          <cell r="A36">
            <v>35</v>
          </cell>
          <cell r="B36">
            <v>36376</v>
          </cell>
          <cell r="C36" t="str">
            <v>Miranda</v>
          </cell>
          <cell r="D36" t="str">
            <v>U</v>
          </cell>
          <cell r="E36" t="str">
            <v>CT</v>
          </cell>
          <cell r="F36" t="str">
            <v>SC</v>
          </cell>
          <cell r="G36" t="str">
            <v>Inq</v>
          </cell>
          <cell r="H36" t="str">
            <v>M</v>
          </cell>
          <cell r="I36" t="str">
            <v>H</v>
          </cell>
          <cell r="J36" t="str">
            <v>Closed</v>
          </cell>
          <cell r="K36" t="str">
            <v>[See 300] From LEG overview, a context sensitive corridor to DTS2 is required. Currently, there is no access to DTS2; the access is only at the Portfolio level.</v>
          </cell>
          <cell r="L36" t="str">
            <v>-</v>
          </cell>
          <cell r="M36" t="str">
            <v>Incidents 4Aug99\Miranda\CSP UAT INCIDENTS ON AUG.4.doc</v>
          </cell>
          <cell r="N36" t="str">
            <v>9 Aug 99: Fixed in v1.1. 11 Aug 99: Miranda failed verification. 16 Aug 99: Refixed in v1.2. 24 Aug 99: Miranda to retest [Sam] 26 Aug 99: Re-raised by Miranda. 30 Aug 99: Verified by Helen.</v>
          </cell>
          <cell r="O36" t="str">
            <v>P1</v>
          </cell>
          <cell r="P36">
            <v>1.4</v>
          </cell>
        </row>
        <row r="37">
          <cell r="A37">
            <v>36</v>
          </cell>
          <cell r="B37">
            <v>36376</v>
          </cell>
          <cell r="C37" t="str">
            <v>Miranda</v>
          </cell>
          <cell r="D37" t="str">
            <v>U</v>
          </cell>
          <cell r="E37" t="str">
            <v>NR</v>
          </cell>
          <cell r="F37" t="str">
            <v>PA</v>
          </cell>
          <cell r="G37" t="str">
            <v>Inq</v>
          </cell>
          <cell r="H37" t="str">
            <v>L</v>
          </cell>
          <cell r="I37" t="str">
            <v>M</v>
          </cell>
          <cell r="J37" t="str">
            <v>Closed</v>
          </cell>
          <cell r="K37" t="str">
            <v>From LEG Overview screen, if there are multiple bases under an LEG, then show a list of bases for user to choose. After choosing the base, show the list of documents under the base.</v>
          </cell>
          <cell r="L37" t="str">
            <v>-</v>
          </cell>
          <cell r="M37" t="str">
            <v>Incidents 4Aug99\Miranda\CSP UAT INCIDENTS ON AUG.4.doc</v>
          </cell>
          <cell r="N37" t="str">
            <v>6Aug99: Estimates required [Sandeep]. 24 Aug 99: Miranda to retest [Sam] 26 Aug 99: Re-raised by Miranda. 31 Aug 99: Verified by Helen in v1.4.</v>
          </cell>
          <cell r="O37" t="str">
            <v>P2</v>
          </cell>
        </row>
        <row r="38">
          <cell r="A38">
            <v>37</v>
          </cell>
          <cell r="B38">
            <v>36376</v>
          </cell>
          <cell r="C38" t="str">
            <v>Andrew</v>
          </cell>
          <cell r="D38" t="str">
            <v>U</v>
          </cell>
          <cell r="E38" t="str">
            <v>CT</v>
          </cell>
          <cell r="F38" t="str">
            <v>SC</v>
          </cell>
          <cell r="G38" t="str">
            <v>EG</v>
          </cell>
          <cell r="H38" t="str">
            <v>M</v>
          </cell>
          <cell r="I38" t="str">
            <v>H</v>
          </cell>
          <cell r="J38" t="str">
            <v>Closed</v>
          </cell>
          <cell r="K38" t="str">
            <v>For the following error when adding link Channel Islands 603307 for LEG: “An Error Has Occurred. Support key EG00009937991999080408:27:10 Error in case 4 of CreateObject servlet Exception java.lang.NullPointerException".</v>
          </cell>
          <cell r="L38" t="str">
            <v>-</v>
          </cell>
          <cell r="M38" t="str">
            <v>Incidents 4Aug99\Andrew 4Aug99\Day 2 PC 1.doc</v>
          </cell>
          <cell r="N38" t="str">
            <v>6 Aug 99: Duplicate of 20. 16 Aug 99: Verified by Andrew in v1.2.</v>
          </cell>
          <cell r="O38" t="str">
            <v>P1</v>
          </cell>
          <cell r="P38">
            <v>1.1000000000000001</v>
          </cell>
        </row>
        <row r="39">
          <cell r="A39">
            <v>38</v>
          </cell>
          <cell r="B39">
            <v>36376</v>
          </cell>
          <cell r="C39" t="str">
            <v>Andrew</v>
          </cell>
          <cell r="D39" t="str">
            <v>U</v>
          </cell>
          <cell r="E39" t="str">
            <v>CT</v>
          </cell>
          <cell r="F39" t="str">
            <v>SC</v>
          </cell>
          <cell r="G39" t="str">
            <v>SCL</v>
          </cell>
          <cell r="H39" t="str">
            <v>M</v>
          </cell>
          <cell r="I39" t="str">
            <v>H</v>
          </cell>
          <cell r="J39" t="str">
            <v>Closed</v>
          </cell>
          <cell r="K39" t="str">
            <v>At member overview screen, I clicked “In Process” in the bottom tool bar. The message to inform me that there is no match is displayed. When I clicked OK, a blank screen appeared, leaving the user wondering what to do next.</v>
          </cell>
          <cell r="L39" t="str">
            <v>-</v>
          </cell>
          <cell r="M39" t="str">
            <v>Incidents 4Aug99\Andrew 4Aug99\Day 2 PC 1.doc</v>
          </cell>
          <cell r="N39" t="str">
            <v>10 Aug 99: Verified fix by Andrew.</v>
          </cell>
          <cell r="O39" t="str">
            <v>P1</v>
          </cell>
          <cell r="P39">
            <v>1.1000000000000001</v>
          </cell>
        </row>
        <row r="40">
          <cell r="A40">
            <v>39</v>
          </cell>
          <cell r="B40">
            <v>36376</v>
          </cell>
          <cell r="C40" t="str">
            <v>Andrew</v>
          </cell>
          <cell r="D40" t="str">
            <v>U</v>
          </cell>
          <cell r="E40" t="str">
            <v>CT</v>
          </cell>
          <cell r="F40" t="str">
            <v>SC</v>
          </cell>
          <cell r="G40" t="str">
            <v>Inq</v>
          </cell>
          <cell r="H40" t="str">
            <v>L</v>
          </cell>
          <cell r="I40" t="str">
            <v>L</v>
          </cell>
          <cell r="J40" t="str">
            <v>Closed</v>
          </cell>
          <cell r="K40" t="str">
            <v>[See 228, 269] The mouse over message is partially concealed by the header if I move the mouse from top down. If I move the mouse from bottom up, the message is fully displayed (Relationship Overview screen).</v>
          </cell>
          <cell r="L40" t="str">
            <v>-</v>
          </cell>
          <cell r="M40" t="str">
            <v>Incidents 4Aug99\Andrew 4Aug99\Day 2 PC 1.doc</v>
          </cell>
          <cell r="N40" t="str">
            <v>10 Aug 99: Verified fix by Andrew.</v>
          </cell>
          <cell r="O40" t="str">
            <v>P1</v>
          </cell>
          <cell r="P40">
            <v>1.1000000000000001</v>
          </cell>
        </row>
        <row r="41">
          <cell r="A41">
            <v>40</v>
          </cell>
          <cell r="B41">
            <v>36376</v>
          </cell>
          <cell r="C41" t="str">
            <v>Andrew</v>
          </cell>
          <cell r="D41" t="str">
            <v>U</v>
          </cell>
          <cell r="E41" t="str">
            <v>CT</v>
          </cell>
          <cell r="F41" t="str">
            <v>SC</v>
          </cell>
          <cell r="G41" t="str">
            <v>Rep</v>
          </cell>
          <cell r="H41" t="str">
            <v>M</v>
          </cell>
          <cell r="I41" t="str">
            <v>H</v>
          </cell>
          <cell r="J41" t="str">
            <v>Closed</v>
          </cell>
          <cell r="K41" t="str">
            <v>Cannot access EG Setup and Service Log from Reports.</v>
          </cell>
          <cell r="L41" t="str">
            <v>-</v>
          </cell>
          <cell r="M41" t="str">
            <v>Incidents 4Aug99\Andrew 4Aug99\Day 2 PC 1.doc</v>
          </cell>
          <cell r="N41" t="str">
            <v>10 Aug 99: Verified fix by Andrew.</v>
          </cell>
          <cell r="O41" t="str">
            <v>P1</v>
          </cell>
          <cell r="P41">
            <v>1.1000000000000001</v>
          </cell>
        </row>
        <row r="42">
          <cell r="A42">
            <v>41</v>
          </cell>
          <cell r="B42">
            <v>36376</v>
          </cell>
          <cell r="C42" t="str">
            <v>Andrew</v>
          </cell>
          <cell r="D42" t="str">
            <v>U</v>
          </cell>
          <cell r="E42" t="str">
            <v>CT</v>
          </cell>
          <cell r="F42" t="str">
            <v>SC</v>
          </cell>
          <cell r="G42" t="str">
            <v>Inq</v>
          </cell>
          <cell r="H42" t="str">
            <v>M</v>
          </cell>
          <cell r="I42" t="str">
            <v>H</v>
          </cell>
          <cell r="J42" t="str">
            <v>Closed</v>
          </cell>
          <cell r="K42" t="str">
            <v>[See 87] Tried to hyperlink from Member Overview. An error message appears on the screen under “Location Details section (not as message box): “Please Contact Technology with…”. What does this mean?</v>
          </cell>
          <cell r="L42" t="str">
            <v>-</v>
          </cell>
          <cell r="M42" t="str">
            <v>Incidents 4Aug99\Andrew 4Aug99\Day 2 PC 1.doc</v>
          </cell>
          <cell r="N42" t="str">
            <v>10 Aug 99: Verified fix by Andrew.</v>
          </cell>
          <cell r="O42" t="str">
            <v>P1</v>
          </cell>
          <cell r="P42">
            <v>1.1000000000000001</v>
          </cell>
        </row>
        <row r="43">
          <cell r="A43">
            <v>42</v>
          </cell>
          <cell r="B43">
            <v>36376</v>
          </cell>
          <cell r="C43" t="str">
            <v>Andrew</v>
          </cell>
          <cell r="D43" t="str">
            <v>U</v>
          </cell>
          <cell r="E43" t="str">
            <v>DI</v>
          </cell>
          <cell r="F43" t="str">
            <v>PA</v>
          </cell>
          <cell r="G43" t="str">
            <v>EG</v>
          </cell>
          <cell r="H43" t="str">
            <v>M</v>
          </cell>
          <cell r="I43" t="str">
            <v>H</v>
          </cell>
          <cell r="J43" t="str">
            <v>Dup</v>
          </cell>
          <cell r="K43" t="str">
            <v>[See 80, 81] When base is de-linked and later linked again, the system does not re-calculate the values in the relationship overview. Although both the Portfoilos of “Findborn” are pledged, the system does not display the “Y” information.</v>
          </cell>
          <cell r="L43" t="str">
            <v>-</v>
          </cell>
          <cell r="M43" t="str">
            <v>Incidents 4Aug99\Andrew 4Aug99\Day 2 PC 2.doc</v>
          </cell>
          <cell r="N43" t="str">
            <v>6 Aug 99: Split this into two incidents (CT and DI). See 80 and 81. 16 Aug 99: Verified by Andrew in v1.2. 25 Aug 99: Verified fix-closed [Andrew].</v>
          </cell>
          <cell r="O43" t="str">
            <v>P1</v>
          </cell>
          <cell r="P43">
            <v>1.1000000000000001</v>
          </cell>
        </row>
        <row r="44">
          <cell r="A44">
            <v>43</v>
          </cell>
          <cell r="B44">
            <v>36376</v>
          </cell>
          <cell r="C44" t="str">
            <v>Andrew</v>
          </cell>
          <cell r="D44" t="str">
            <v>U</v>
          </cell>
          <cell r="E44" t="str">
            <v>NR</v>
          </cell>
          <cell r="F44" t="str">
            <v>PA</v>
          </cell>
          <cell r="G44" t="str">
            <v>Inq</v>
          </cell>
          <cell r="H44" t="str">
            <v>L</v>
          </cell>
          <cell r="I44" t="str">
            <v>M</v>
          </cell>
          <cell r="J44" t="str">
            <v>Closed</v>
          </cell>
          <cell r="K44" t="str">
            <v>In the Relationship Overview screen, Total Values for the Relationship in terms of total assets, total liabilities and total net assets/liabilities would be useful.</v>
          </cell>
          <cell r="L44" t="str">
            <v>-</v>
          </cell>
          <cell r="M44" t="str">
            <v>Incidents 4Aug99\Andrew 4Aug99\Day 2 PC 2.doc</v>
          </cell>
          <cell r="N44" t="str">
            <v>6Aug99: Estimates required [Sandeep]. (Can be packaged with 31). 10 Aug 99: Verified fix by Andrew.</v>
          </cell>
          <cell r="O44" t="str">
            <v>P1</v>
          </cell>
          <cell r="P44">
            <v>1.1000000000000001</v>
          </cell>
        </row>
        <row r="45">
          <cell r="A45">
            <v>44</v>
          </cell>
          <cell r="B45">
            <v>36376</v>
          </cell>
          <cell r="C45" t="str">
            <v>Andrew</v>
          </cell>
          <cell r="D45" t="str">
            <v>U</v>
          </cell>
          <cell r="E45" t="str">
            <v>CT</v>
          </cell>
          <cell r="F45" t="str">
            <v>SC</v>
          </cell>
          <cell r="G45" t="str">
            <v>SCL</v>
          </cell>
          <cell r="H45" t="str">
            <v>L</v>
          </cell>
          <cell r="I45" t="str">
            <v>L</v>
          </cell>
          <cell r="J45" t="str">
            <v>Closed</v>
          </cell>
          <cell r="K45" t="str">
            <v>In Inquiry’s New Item screen, when the “Source Reference” field is left blank, the “Extension is Mandatory” message box is displayed. The text should be “Source Ref #” and not “Extension” as this is confusing.</v>
          </cell>
          <cell r="L45" t="str">
            <v>-</v>
          </cell>
          <cell r="M45" t="str">
            <v>Incidents 4Aug99\Andrew 4Aug99\Day 2 PC 2.doc</v>
          </cell>
          <cell r="N45" t="str">
            <v>10 Aug 99: Verified fix by Andrew.</v>
          </cell>
          <cell r="O45" t="str">
            <v>P1</v>
          </cell>
          <cell r="P45">
            <v>1.1000000000000001</v>
          </cell>
        </row>
        <row r="46">
          <cell r="A46">
            <v>45</v>
          </cell>
          <cell r="B46">
            <v>36376</v>
          </cell>
          <cell r="C46" t="str">
            <v>Andrew</v>
          </cell>
          <cell r="D46" t="str">
            <v>U</v>
          </cell>
          <cell r="E46" t="str">
            <v>NR</v>
          </cell>
          <cell r="F46" t="str">
            <v>PA</v>
          </cell>
          <cell r="G46" t="str">
            <v>Inq</v>
          </cell>
          <cell r="H46" t="str">
            <v>L</v>
          </cell>
          <cell r="I46" t="str">
            <v>M</v>
          </cell>
          <cell r="J46" t="str">
            <v>Auth</v>
          </cell>
          <cell r="K46" t="str">
            <v>An indicator is required in the Member Overview screen for HAM clients.</v>
          </cell>
          <cell r="L46" t="str">
            <v>-</v>
          </cell>
          <cell r="M46" t="str">
            <v>Incidents 4Aug99\Andrew 4Aug99\Day 2 PC 2.doc</v>
          </cell>
          <cell r="O46" t="str">
            <v>P2</v>
          </cell>
        </row>
        <row r="47">
          <cell r="A47">
            <v>46</v>
          </cell>
          <cell r="B47">
            <v>36376</v>
          </cell>
          <cell r="C47" t="str">
            <v>Andrew</v>
          </cell>
          <cell r="D47" t="str">
            <v>U</v>
          </cell>
          <cell r="E47" t="str">
            <v>CT</v>
          </cell>
          <cell r="F47" t="str">
            <v>SC</v>
          </cell>
          <cell r="G47" t="str">
            <v>SCL</v>
          </cell>
          <cell r="H47" t="str">
            <v>L</v>
          </cell>
          <cell r="I47" t="str">
            <v>L</v>
          </cell>
          <cell r="J47" t="str">
            <v>Closed</v>
          </cell>
          <cell r="K47" t="str">
            <v>In the Member Overview screen’s bottom toolbar, change the “New Item” to “New Com Log” as this is more precise.</v>
          </cell>
          <cell r="L47" t="str">
            <v>-</v>
          </cell>
          <cell r="M47" t="str">
            <v>Incidents 4Aug99\Andrew 4Aug99\Day 2 PC 2.doc</v>
          </cell>
          <cell r="N47" t="str">
            <v>16 Aug 99: Verified fix in v1.2 [Helen and Andrew].</v>
          </cell>
          <cell r="O47" t="str">
            <v>P1</v>
          </cell>
          <cell r="P47">
            <v>1.2</v>
          </cell>
        </row>
        <row r="48">
          <cell r="A48">
            <v>47</v>
          </cell>
          <cell r="B48">
            <v>36376</v>
          </cell>
          <cell r="C48" t="str">
            <v>Andrew</v>
          </cell>
          <cell r="D48" t="str">
            <v>U</v>
          </cell>
          <cell r="E48" t="str">
            <v>UM</v>
          </cell>
          <cell r="F48" t="str">
            <v>PA</v>
          </cell>
          <cell r="G48" t="str">
            <v>EG</v>
          </cell>
          <cell r="H48" t="str">
            <v>L</v>
          </cell>
          <cell r="I48" t="str">
            <v>L</v>
          </cell>
          <cell r="J48" t="str">
            <v>Closed</v>
          </cell>
          <cell r="K48" t="str">
            <v>Please add in “PIC” – Private Investment Company in the Entitlement Group. Missing from the Select Entitlement Group Type listbox (Create New GEG screen).</v>
          </cell>
          <cell r="L48" t="str">
            <v>-</v>
          </cell>
          <cell r="M48" t="str">
            <v>Incidents 4Aug99\Andrew 4Aug99\Day 2 PC 2.doc</v>
          </cell>
          <cell r="N48" t="str">
            <v>16 Aug 99: Verified by Andrew in v1.2.</v>
          </cell>
          <cell r="O48" t="str">
            <v>P1</v>
          </cell>
          <cell r="P48">
            <v>1.1000000000000001</v>
          </cell>
        </row>
        <row r="49">
          <cell r="A49">
            <v>48</v>
          </cell>
          <cell r="B49">
            <v>36376</v>
          </cell>
          <cell r="C49" t="str">
            <v>Andrew</v>
          </cell>
          <cell r="D49" t="str">
            <v>U</v>
          </cell>
          <cell r="E49" t="str">
            <v>UM</v>
          </cell>
          <cell r="F49" t="str">
            <v>PA</v>
          </cell>
          <cell r="G49" t="str">
            <v>EG</v>
          </cell>
          <cell r="H49" t="str">
            <v>L</v>
          </cell>
          <cell r="I49" t="str">
            <v>L</v>
          </cell>
          <cell r="J49" t="str">
            <v>Closed</v>
          </cell>
          <cell r="K49" t="str">
            <v>For Trust item in the Select Entitlement Group Type listbox, specify if it’s “Discretionary/Directed”. Also indicate if it’s Third Party Trust.</v>
          </cell>
          <cell r="L49" t="str">
            <v>-</v>
          </cell>
          <cell r="M49" t="str">
            <v>Incidents 4Aug99\Andrew 4Aug99\Day 2 PC 2.doc</v>
          </cell>
          <cell r="N49" t="str">
            <v>16 Aug 99: Verified by Andrew in v1.2.</v>
          </cell>
          <cell r="O49" t="str">
            <v>P1</v>
          </cell>
          <cell r="P49">
            <v>1.1000000000000001</v>
          </cell>
        </row>
        <row r="50">
          <cell r="A50">
            <v>49</v>
          </cell>
          <cell r="B50">
            <v>36376</v>
          </cell>
          <cell r="C50" t="str">
            <v>Andrew</v>
          </cell>
          <cell r="D50" t="str">
            <v>U</v>
          </cell>
          <cell r="E50" t="str">
            <v>CT</v>
          </cell>
          <cell r="F50" t="str">
            <v>SC</v>
          </cell>
          <cell r="G50" t="str">
            <v>Inq</v>
          </cell>
          <cell r="H50" t="str">
            <v>M</v>
          </cell>
          <cell r="I50" t="str">
            <v>H</v>
          </cell>
          <cell r="J50" t="str">
            <v>Closed</v>
          </cell>
          <cell r="K50" t="str">
            <v>From “Filtered Holdings”, Set filter to cash and equivalent and got error: “Error !! Please Contact Technology with this key : INQ000098506919990804035327. The Error Message is ‘Error in getting Account Information’.”</v>
          </cell>
          <cell r="L50" t="str">
            <v>-</v>
          </cell>
          <cell r="M50" t="str">
            <v>Incidents 4Aug99\Andrew 4Aug99\Day 2 PC 2.doc</v>
          </cell>
          <cell r="N50" t="str">
            <v>10 Aug 99: Verified fix by Andrew in v1.1.</v>
          </cell>
          <cell r="O50" t="str">
            <v>P1</v>
          </cell>
          <cell r="P50">
            <v>1.1000000000000001</v>
          </cell>
        </row>
        <row r="51">
          <cell r="A51">
            <v>50</v>
          </cell>
          <cell r="B51">
            <v>36376</v>
          </cell>
          <cell r="C51" t="str">
            <v>Andrew</v>
          </cell>
          <cell r="D51" t="str">
            <v>U</v>
          </cell>
          <cell r="E51" t="str">
            <v>CT</v>
          </cell>
          <cell r="F51" t="str">
            <v>SC</v>
          </cell>
          <cell r="G51" t="str">
            <v>Inq</v>
          </cell>
          <cell r="H51" t="str">
            <v>L</v>
          </cell>
          <cell r="I51" t="str">
            <v>L</v>
          </cell>
          <cell r="J51" t="str">
            <v>Closed</v>
          </cell>
          <cell r="K51" t="str">
            <v>A facility is required to be able to print reports that have been generated.</v>
          </cell>
          <cell r="L51" t="str">
            <v>-</v>
          </cell>
          <cell r="M51" t="str">
            <v>Incidents 4Aug99\Andrew 4Aug99\Day 2 PC 2.doc</v>
          </cell>
          <cell r="N51" t="str">
            <v>10 Aug 99: Verified by Andrew: A valid printer cannot be chosen. 16 Aug 99: Verified by Andrew in v1.2.</v>
          </cell>
          <cell r="O51" t="str">
            <v>P1</v>
          </cell>
          <cell r="P51">
            <v>1.1000000000000001</v>
          </cell>
        </row>
        <row r="52">
          <cell r="A52">
            <v>51</v>
          </cell>
          <cell r="B52">
            <v>36376</v>
          </cell>
          <cell r="C52" t="str">
            <v>Andrew</v>
          </cell>
          <cell r="D52" t="str">
            <v>U</v>
          </cell>
          <cell r="E52" t="str">
            <v>DR</v>
          </cell>
          <cell r="F52" t="str">
            <v>AW</v>
          </cell>
          <cell r="G52" t="str">
            <v>Inq</v>
          </cell>
          <cell r="H52" t="str">
            <v>M</v>
          </cell>
          <cell r="I52" t="str">
            <v>H</v>
          </cell>
          <cell r="J52" t="str">
            <v>Closed</v>
          </cell>
          <cell r="K52" t="str">
            <v>In the Position Inquiry screen, how does the system calculate Accrued Interest? CHF loan shows 136.72 but Jpy loan shows nil.</v>
          </cell>
          <cell r="L52" t="str">
            <v>-</v>
          </cell>
          <cell r="M52" t="str">
            <v>Incidents 4Aug99\Andrew 4Aug99\Day 2 PC 2.doc</v>
          </cell>
          <cell r="N52" t="str">
            <v>16 Aug 99: Fixed in 7 Jul feed [Aegidia]. 24 Aug 99: Re-raised and very high priority [Sam]. 30 Aug 99: Per original incident raised, this is to confirm that the contract/deal rate in CSP should be the same as in EVAL screen in SBOS [Andrew]. 30 Aug 99: R</v>
          </cell>
          <cell r="O52" t="str">
            <v>P1</v>
          </cell>
          <cell r="P52">
            <v>1.4</v>
          </cell>
        </row>
        <row r="53">
          <cell r="A53">
            <v>52</v>
          </cell>
          <cell r="B53">
            <v>36375</v>
          </cell>
          <cell r="C53" t="str">
            <v>Hiraki</v>
          </cell>
          <cell r="D53" t="str">
            <v>U</v>
          </cell>
          <cell r="E53" t="str">
            <v>UT</v>
          </cell>
          <cell r="F53" t="str">
            <v>PA</v>
          </cell>
          <cell r="G53" t="str">
            <v>Inq</v>
          </cell>
          <cell r="H53" t="str">
            <v>L</v>
          </cell>
          <cell r="I53" t="str">
            <v>M</v>
          </cell>
          <cell r="J53" t="str">
            <v>Closed</v>
          </cell>
          <cell r="K53" t="str">
            <v>Back Button: Having performed a Member Search, the Back button is missing from the Search results screen. This happened more than once. This is also true from "Edit LEG Roles". Also, sometimes, the Back button, when it was available, had to be clicked mor</v>
          </cell>
          <cell r="L53" t="str">
            <v>Aoki 2.1.doc</v>
          </cell>
          <cell r="M53" t="str">
            <v>-</v>
          </cell>
          <cell r="N53" t="str">
            <v>9 Aug 99: Changed from CT to UT.</v>
          </cell>
          <cell r="O53" t="str">
            <v>P1</v>
          </cell>
          <cell r="P53">
            <v>1.3</v>
          </cell>
        </row>
        <row r="54">
          <cell r="A54">
            <v>53</v>
          </cell>
          <cell r="B54">
            <v>36375</v>
          </cell>
          <cell r="C54" t="str">
            <v>Hiraki</v>
          </cell>
          <cell r="D54" t="str">
            <v>U</v>
          </cell>
          <cell r="E54" t="str">
            <v>UT</v>
          </cell>
          <cell r="F54" t="str">
            <v>PA</v>
          </cell>
          <cell r="G54" t="str">
            <v>Inq</v>
          </cell>
          <cell r="H54" t="str">
            <v>L</v>
          </cell>
          <cell r="I54" t="str">
            <v>M</v>
          </cell>
          <cell r="J54" t="str">
            <v>Closed</v>
          </cell>
          <cell r="K54" t="str">
            <v>Performed a Member search from the Home screen for "Aoki International Co Ltd". The search result returned "Corporation" when "Entity" account is expected.</v>
          </cell>
          <cell r="L54" t="str">
            <v>Aoki 2.1.doc</v>
          </cell>
          <cell r="M54" t="str">
            <v>-</v>
          </cell>
          <cell r="N54" t="str">
            <v>6 Aug 99: This gives more info!</v>
          </cell>
          <cell r="O54" t="str">
            <v>P1</v>
          </cell>
          <cell r="P54">
            <v>1</v>
          </cell>
        </row>
        <row r="55">
          <cell r="A55">
            <v>54</v>
          </cell>
          <cell r="B55">
            <v>36375</v>
          </cell>
          <cell r="C55" t="str">
            <v>Hiraki</v>
          </cell>
          <cell r="D55" t="str">
            <v>U</v>
          </cell>
          <cell r="E55" t="str">
            <v>UT</v>
          </cell>
          <cell r="F55" t="str">
            <v>PA</v>
          </cell>
          <cell r="G55" t="str">
            <v>Inq</v>
          </cell>
          <cell r="H55" t="str">
            <v>L</v>
          </cell>
          <cell r="I55" t="str">
            <v>M</v>
          </cell>
          <cell r="J55" t="str">
            <v>Closed</v>
          </cell>
          <cell r="K55" t="str">
            <v>Entered a Portfolio number from the Home screen's Portfolio option and got the following error: "Product Processor is Mandatory".</v>
          </cell>
          <cell r="L55" t="str">
            <v>Aoki 2.1.doc</v>
          </cell>
          <cell r="M55" t="str">
            <v>-</v>
          </cell>
          <cell r="N55" t="str">
            <v>5 Aug 99: Retried it today with the correct execution of the Test Case.</v>
          </cell>
          <cell r="O55" t="str">
            <v>P1</v>
          </cell>
          <cell r="P55">
            <v>1</v>
          </cell>
        </row>
        <row r="56">
          <cell r="A56">
            <v>55</v>
          </cell>
          <cell r="B56">
            <v>36375</v>
          </cell>
          <cell r="C56" t="str">
            <v>Hiraki</v>
          </cell>
          <cell r="D56" t="str">
            <v>U</v>
          </cell>
          <cell r="E56" t="str">
            <v>NR</v>
          </cell>
          <cell r="F56" t="str">
            <v>PA</v>
          </cell>
          <cell r="G56" t="str">
            <v>Inq</v>
          </cell>
          <cell r="H56" t="str">
            <v>L</v>
          </cell>
          <cell r="I56" t="str">
            <v>?</v>
          </cell>
          <cell r="J56" t="str">
            <v>Auth</v>
          </cell>
          <cell r="K56" t="str">
            <v>When a Portfolio number is known it is possible to drill down. If this is not known, how does one get to the "PF Location" screen without it?</v>
          </cell>
          <cell r="L56" t="str">
            <v>Aoki 2.1.doc</v>
          </cell>
          <cell r="M56" t="str">
            <v>-</v>
          </cell>
          <cell r="N56" t="str">
            <v>5 Aug 99: Via Member search. 6 Aug 99: Estimates required [Sandeep]. 26 Aug 99: Need to investigate further [Keith]</v>
          </cell>
          <cell r="O56" t="str">
            <v>P2</v>
          </cell>
        </row>
        <row r="57">
          <cell r="A57">
            <v>56</v>
          </cell>
          <cell r="B57">
            <v>36375</v>
          </cell>
          <cell r="C57" t="str">
            <v>Toda</v>
          </cell>
          <cell r="D57" t="str">
            <v>U</v>
          </cell>
          <cell r="E57" t="str">
            <v>UT</v>
          </cell>
          <cell r="F57" t="str">
            <v>PA</v>
          </cell>
          <cell r="G57" t="str">
            <v>Inq</v>
          </cell>
          <cell r="H57" t="str">
            <v>L</v>
          </cell>
          <cell r="I57" t="str">
            <v>L</v>
          </cell>
          <cell r="J57" t="str">
            <v>Closed</v>
          </cell>
          <cell r="K57" t="str">
            <v>Performed a Member search from the Home screen for "Nironori Aoki" and invoked "Contact" from the results screen. The "Date of Birth" information is not shown. However, it is found under EPID.</v>
          </cell>
          <cell r="L57" t="str">
            <v>Aoki 3.2.1, 3.2.2, 3.2.3, 3.2.4, 3.2.5.doc</v>
          </cell>
          <cell r="M57" t="str">
            <v>-</v>
          </cell>
          <cell r="N57" t="str">
            <v>6 Aug 99: EPID is to display the DoB.</v>
          </cell>
          <cell r="O57" t="str">
            <v>P1</v>
          </cell>
          <cell r="P57">
            <v>1</v>
          </cell>
        </row>
        <row r="58">
          <cell r="A58">
            <v>57</v>
          </cell>
          <cell r="B58">
            <v>36375</v>
          </cell>
          <cell r="C58" t="str">
            <v>Toda</v>
          </cell>
          <cell r="D58" t="str">
            <v>U</v>
          </cell>
          <cell r="E58" t="str">
            <v>UT</v>
          </cell>
          <cell r="F58" t="str">
            <v>PA</v>
          </cell>
          <cell r="G58" t="str">
            <v>Inq</v>
          </cell>
          <cell r="H58" t="str">
            <v>L</v>
          </cell>
          <cell r="I58" t="str">
            <v>L</v>
          </cell>
          <cell r="J58" t="str">
            <v>Closed</v>
          </cell>
          <cell r="K58" t="str">
            <v>The "Home" sign is too small. 5 Aug 99: The Home and Back text is too close to each other.</v>
          </cell>
          <cell r="L58" t="str">
            <v>Aoki 3.4.1, 3.4.2, 3.4.3.doc</v>
          </cell>
          <cell r="M58" t="str">
            <v>-</v>
          </cell>
          <cell r="O58" t="str">
            <v>P1</v>
          </cell>
          <cell r="P58" t="str">
            <v>?</v>
          </cell>
        </row>
        <row r="59">
          <cell r="A59">
            <v>58</v>
          </cell>
          <cell r="B59">
            <v>36375</v>
          </cell>
          <cell r="C59" t="str">
            <v>Toda</v>
          </cell>
          <cell r="D59" t="str">
            <v>U</v>
          </cell>
          <cell r="E59" t="str">
            <v>MC</v>
          </cell>
          <cell r="F59" t="str">
            <v>JR</v>
          </cell>
          <cell r="G59" t="str">
            <v>Inq</v>
          </cell>
          <cell r="H59" t="str">
            <v>L</v>
          </cell>
          <cell r="I59" t="str">
            <v>M</v>
          </cell>
          <cell r="J59" t="str">
            <v>Closed</v>
          </cell>
          <cell r="K59" t="str">
            <v>The relationship search result for Aoki shows additional information (2 sons) than stated in expected results.</v>
          </cell>
          <cell r="L59" t="str">
            <v>Aoki 3.2.1, 3.2.2, 3.2.3, 3.2.4, 3.2.5.doc</v>
          </cell>
          <cell r="M59" t="str">
            <v>-</v>
          </cell>
          <cell r="N59" t="str">
            <v>5 Aug 99: The Test Case is incorrect.</v>
          </cell>
          <cell r="O59" t="str">
            <v>P1</v>
          </cell>
          <cell r="P59">
            <v>1</v>
          </cell>
        </row>
        <row r="60">
          <cell r="A60">
            <v>59</v>
          </cell>
          <cell r="B60">
            <v>36375</v>
          </cell>
          <cell r="C60" t="str">
            <v>Toda</v>
          </cell>
          <cell r="D60" t="str">
            <v>U</v>
          </cell>
          <cell r="E60" t="str">
            <v>MC</v>
          </cell>
          <cell r="F60" t="str">
            <v>JR</v>
          </cell>
          <cell r="G60" t="str">
            <v>Inq</v>
          </cell>
          <cell r="H60" t="str">
            <v>L</v>
          </cell>
          <cell r="I60" t="str">
            <v>M</v>
          </cell>
          <cell r="J60" t="str">
            <v>Closed</v>
          </cell>
          <cell r="K60" t="str">
            <v>"Aoki" member search result found only one relationship and not 3 as stated in the Expected Results.</v>
          </cell>
          <cell r="L60" t="str">
            <v>Aoki 3.2.1, 3.2.2, 3.2.3, 3.2.4, 3.2.5.doc</v>
          </cell>
          <cell r="M60" t="str">
            <v>-</v>
          </cell>
          <cell r="N60" t="str">
            <v>5 Aug 99: Check with Dave [Jacob]. 25 Aug 99: Verified with Dave [Jacob]</v>
          </cell>
          <cell r="O60" t="str">
            <v>P1</v>
          </cell>
        </row>
        <row r="61">
          <cell r="A61">
            <v>60</v>
          </cell>
          <cell r="B61">
            <v>36376</v>
          </cell>
          <cell r="C61" t="str">
            <v>Tei</v>
          </cell>
          <cell r="D61" t="str">
            <v>U</v>
          </cell>
          <cell r="E61" t="str">
            <v>DR</v>
          </cell>
          <cell r="F61" t="str">
            <v>AW</v>
          </cell>
          <cell r="G61" t="str">
            <v>EG</v>
          </cell>
          <cell r="H61" t="str">
            <v>L</v>
          </cell>
          <cell r="I61" t="str">
            <v>L</v>
          </cell>
          <cell r="J61" t="str">
            <v>Closed</v>
          </cell>
          <cell r="K61" t="str">
            <v>In EG search results screen, only Lead Banker's name is shown.</v>
          </cell>
          <cell r="L61" t="str">
            <v>Aoki 4.2.3.doc</v>
          </cell>
          <cell r="M61" t="str">
            <v>-</v>
          </cell>
          <cell r="N61" t="str">
            <v xml:space="preserve">5 Aug 99: Hold until next CW release. 16 Aug 99: This is a CW issue. Sandeep, please advise [Aegidia]. 30 Aug 99: Sandeep, please advise status [Aegidia] 30 Aug 99: We have received confirmation from Sam Elsamman that ClientWise will not provide any Lead </v>
          </cell>
          <cell r="O61" t="str">
            <v>P1</v>
          </cell>
          <cell r="P61">
            <v>1.4</v>
          </cell>
        </row>
        <row r="62">
          <cell r="A62">
            <v>61</v>
          </cell>
          <cell r="B62">
            <v>36376</v>
          </cell>
          <cell r="C62" t="str">
            <v>Tei</v>
          </cell>
          <cell r="D62" t="str">
            <v>U</v>
          </cell>
          <cell r="E62" t="str">
            <v>UT</v>
          </cell>
          <cell r="F62" t="str">
            <v>PA</v>
          </cell>
          <cell r="G62" t="str">
            <v>EG</v>
          </cell>
          <cell r="H62" t="str">
            <v>L</v>
          </cell>
          <cell r="I62" t="str">
            <v>L</v>
          </cell>
          <cell r="J62" t="str">
            <v>Closed</v>
          </cell>
          <cell r="K62" t="str">
            <v>On the GEG Overview screen, clicking the name does not do anything.</v>
          </cell>
          <cell r="L62" t="str">
            <v>Aoki 4.2.3.doc</v>
          </cell>
          <cell r="M62" t="str">
            <v>-</v>
          </cell>
          <cell r="N62" t="str">
            <v>6 Aug 99: This is not a drill-down hyperlink [Sandeep].</v>
          </cell>
          <cell r="O62" t="str">
            <v>P1</v>
          </cell>
          <cell r="P62">
            <v>1</v>
          </cell>
        </row>
        <row r="63">
          <cell r="A63">
            <v>62</v>
          </cell>
          <cell r="B63">
            <v>36376</v>
          </cell>
          <cell r="C63" t="str">
            <v>Tei</v>
          </cell>
          <cell r="D63" t="str">
            <v>U</v>
          </cell>
          <cell r="E63" t="str">
            <v>DI</v>
          </cell>
          <cell r="F63" t="str">
            <v>PA</v>
          </cell>
          <cell r="G63" t="str">
            <v>EG</v>
          </cell>
          <cell r="H63" t="str">
            <v>L</v>
          </cell>
          <cell r="I63" t="str">
            <v>L</v>
          </cell>
          <cell r="J63" t="str">
            <v>Closed</v>
          </cell>
          <cell r="K63" t="str">
            <v>On GEG Overview Screen, expected to see "Add LEG Role". Instead, only found "Add Link".</v>
          </cell>
          <cell r="L63" t="str">
            <v>Aoki 4.2.3.doc</v>
          </cell>
          <cell r="M63" t="str">
            <v>-</v>
          </cell>
          <cell r="N63" t="str">
            <v>6 Aug 99: Re-run test case. 14 Aug: Status of re-run required [Sandeep]. 2 Sept 99: Verified by Tei.</v>
          </cell>
          <cell r="O63" t="str">
            <v>P2</v>
          </cell>
        </row>
        <row r="64">
          <cell r="A64">
            <v>63</v>
          </cell>
          <cell r="B64">
            <v>36376</v>
          </cell>
          <cell r="C64" t="str">
            <v>Tei</v>
          </cell>
          <cell r="D64" t="str">
            <v>U</v>
          </cell>
          <cell r="E64" t="str">
            <v>DR</v>
          </cell>
          <cell r="F64" t="str">
            <v>AW</v>
          </cell>
          <cell r="G64" t="str">
            <v>EG</v>
          </cell>
          <cell r="H64" t="str">
            <v>M</v>
          </cell>
          <cell r="I64" t="str">
            <v>H</v>
          </cell>
          <cell r="J64" t="str">
            <v>Closed</v>
          </cell>
          <cell r="K64" t="str">
            <v>From "Link Overview" screen, clicked "99232/02" and got information on "992320/02" which is only an "account" when expecting "Loan Account".</v>
          </cell>
          <cell r="L64" t="str">
            <v>Aoki 4.2.3.doc</v>
          </cell>
          <cell r="M64" t="str">
            <v>-</v>
          </cell>
          <cell r="N64" t="str">
            <v>6 Aug 99: Need screen shots [Tei]. 9 Aug 99 : Source Data Feed has portfolio no without "/", changed from CT to DR. 16 Aug 99: I don't understand the question, please elaborate [Aegidia]. 17 Aug 99: The intended account # was 99232/02, however, the return</v>
          </cell>
          <cell r="O64" t="str">
            <v>P1</v>
          </cell>
        </row>
        <row r="65">
          <cell r="A65">
            <v>64</v>
          </cell>
          <cell r="B65">
            <v>36376</v>
          </cell>
          <cell r="C65" t="str">
            <v>Tei</v>
          </cell>
          <cell r="D65" t="str">
            <v>U</v>
          </cell>
          <cell r="E65" t="str">
            <v>CT</v>
          </cell>
          <cell r="F65" t="str">
            <v>SC</v>
          </cell>
          <cell r="G65" t="str">
            <v>Inq</v>
          </cell>
          <cell r="H65" t="str">
            <v>L</v>
          </cell>
          <cell r="I65" t="str">
            <v>L</v>
          </cell>
          <cell r="J65" t="str">
            <v>Closed</v>
          </cell>
          <cell r="K65" t="str">
            <v>It is not possible to return to Home screen in 5 seconds as required.</v>
          </cell>
          <cell r="L65" t="str">
            <v>-</v>
          </cell>
          <cell r="M65" t="str">
            <v>-</v>
          </cell>
          <cell r="N65" t="str">
            <v>30 Aug 99: Verified by Iida.</v>
          </cell>
          <cell r="O65" t="str">
            <v>P1</v>
          </cell>
          <cell r="P65">
            <v>1.2</v>
          </cell>
        </row>
        <row r="66">
          <cell r="A66">
            <v>65</v>
          </cell>
          <cell r="B66">
            <v>36377</v>
          </cell>
          <cell r="C66" t="str">
            <v>Helen</v>
          </cell>
          <cell r="D66" t="str">
            <v>U</v>
          </cell>
          <cell r="E66" t="str">
            <v>CT</v>
          </cell>
          <cell r="F66" t="str">
            <v>SC</v>
          </cell>
          <cell r="G66" t="str">
            <v>Cor</v>
          </cell>
          <cell r="H66" t="str">
            <v>S</v>
          </cell>
          <cell r="I66" t="str">
            <v>H</v>
          </cell>
          <cell r="J66" t="str">
            <v>Closed</v>
          </cell>
          <cell r="K66" t="str">
            <v>Users may have more than one user ID to a product processor, but only one user ID is allowed to be set up for each host. E.g. there is only one SBOS Asia host ID (SINSB) but RSO generally holds two SBOS – Asia ID for accessing both Hong Kong and Singapore</v>
          </cell>
          <cell r="L66" t="str">
            <v>-</v>
          </cell>
          <cell r="M66" t="str">
            <v>Incidents 5Aug99\Helen\05Aug99-cycle 1.doc</v>
          </cell>
          <cell r="N66" t="str">
            <v xml:space="preserve">9 Aug 99: Fixed in v1.1. 10 Aug 99: Retested by Helen (also by Miranda): Failed; a blank screen is displayed on clicking Utilities. 12 Aug 99: Retest result is ok. User is now able to define one product processor user ID per branch (instead of per host). </v>
          </cell>
          <cell r="O66" t="str">
            <v>P1</v>
          </cell>
          <cell r="P66">
            <v>1.2</v>
          </cell>
        </row>
        <row r="67">
          <cell r="A67">
            <v>66</v>
          </cell>
          <cell r="B67">
            <v>36377</v>
          </cell>
          <cell r="C67" t="str">
            <v>Helen</v>
          </cell>
          <cell r="D67" t="str">
            <v>U</v>
          </cell>
          <cell r="E67" t="str">
            <v>UM</v>
          </cell>
          <cell r="F67" t="str">
            <v>PA</v>
          </cell>
          <cell r="G67" t="str">
            <v>SCL</v>
          </cell>
          <cell r="H67" t="str">
            <v>L</v>
          </cell>
          <cell r="I67" t="str">
            <v>L</v>
          </cell>
          <cell r="J67" t="str">
            <v>Closed</v>
          </cell>
          <cell r="K67" t="str">
            <v>The following SCL table values need to be modified for Inquiry SubType Description: Deposit (not Deposit rates) and Foreign Exchange (not FX Rates).</v>
          </cell>
          <cell r="L67" t="str">
            <v>-</v>
          </cell>
          <cell r="M67" t="str">
            <v>Incidents 5Aug99\Helen\05Aug99-cycle 1.doc</v>
          </cell>
          <cell r="N67" t="str">
            <v>6 Aug 99: Retest after update. 16 Aug 99: Verified fix in v1.2 [Helen].</v>
          </cell>
          <cell r="O67" t="str">
            <v>P1</v>
          </cell>
          <cell r="P67">
            <v>1.1000000000000001</v>
          </cell>
        </row>
        <row r="68">
          <cell r="A68">
            <v>67</v>
          </cell>
          <cell r="B68">
            <v>36377</v>
          </cell>
          <cell r="C68" t="str">
            <v>Helen</v>
          </cell>
          <cell r="D68" t="str">
            <v>U</v>
          </cell>
          <cell r="E68" t="str">
            <v>UM</v>
          </cell>
          <cell r="F68" t="str">
            <v>PA</v>
          </cell>
          <cell r="G68" t="str">
            <v>SCL</v>
          </cell>
          <cell r="H68" t="str">
            <v>L</v>
          </cell>
          <cell r="I68" t="str">
            <v>L</v>
          </cell>
          <cell r="J68" t="str">
            <v>Closed</v>
          </cell>
          <cell r="K68" t="str">
            <v>The following SCL table values need to be modified for default Priority: Low (not High) for Investigation, Medium (not High) for Complaints, and, Low (not Medium) for Other.</v>
          </cell>
          <cell r="L68" t="str">
            <v>-</v>
          </cell>
          <cell r="M68" t="str">
            <v>Incidents 5Aug99\Helen\05Aug99-cycle 1.doc</v>
          </cell>
          <cell r="N68" t="str">
            <v>6 Aug 99: Retest after update. 13 Aug 99: Default priority for investigation is still incorrect (it's still High) [Helen]. 16 Aug 99: Verified fix in v1.2 [Helen].</v>
          </cell>
          <cell r="O68" t="str">
            <v>P1</v>
          </cell>
          <cell r="P68">
            <v>1.2</v>
          </cell>
        </row>
        <row r="69">
          <cell r="A69">
            <v>68</v>
          </cell>
          <cell r="B69">
            <v>36377</v>
          </cell>
          <cell r="C69" t="str">
            <v>Helen</v>
          </cell>
          <cell r="D69" t="str">
            <v>U</v>
          </cell>
          <cell r="E69" t="str">
            <v>UM</v>
          </cell>
          <cell r="F69" t="str">
            <v>PA</v>
          </cell>
          <cell r="G69" t="str">
            <v>SCL</v>
          </cell>
          <cell r="H69" t="str">
            <v>L</v>
          </cell>
          <cell r="I69" t="str">
            <v>L</v>
          </cell>
          <cell r="J69" t="str">
            <v>Re-Raised</v>
          </cell>
          <cell r="K69" t="str">
            <v>The following SCL table values need to be modified for default Responsible For: CIU-SIN and CIU-HGK for Investigation and Complaints, RST-SIN and RST-HKG for Order and Other.</v>
          </cell>
          <cell r="L69" t="str">
            <v>-</v>
          </cell>
          <cell r="M69" t="str">
            <v>Incidents 5Aug99\Helen\05Aug99-cycle 1.doc</v>
          </cell>
          <cell r="N69" t="str">
            <v>6 Aug 99: Retest after update. 13 Aug 99: The choice for CIU-SG and RST-SG is not available.</v>
          </cell>
          <cell r="O69" t="str">
            <v>P1</v>
          </cell>
        </row>
        <row r="70">
          <cell r="A70">
            <v>69</v>
          </cell>
          <cell r="B70">
            <v>36377</v>
          </cell>
          <cell r="C70" t="str">
            <v>Helen</v>
          </cell>
          <cell r="D70" t="str">
            <v>U</v>
          </cell>
          <cell r="E70" t="str">
            <v>UM</v>
          </cell>
          <cell r="F70" t="str">
            <v>PA</v>
          </cell>
          <cell r="G70" t="str">
            <v>SCL</v>
          </cell>
          <cell r="H70" t="str">
            <v>L</v>
          </cell>
          <cell r="I70" t="str">
            <v>L</v>
          </cell>
          <cell r="J70" t="str">
            <v>Closed</v>
          </cell>
          <cell r="K70" t="str">
            <v>The following SCL table values need to be modified for default Target Dates: High=Same Day (not next day), Medium=Next Day (not same day), and, Low=1week (not 5 calendar days).</v>
          </cell>
          <cell r="L70" t="str">
            <v>-</v>
          </cell>
          <cell r="M70" t="str">
            <v>Incidents 5Aug99\Helen\05Aug99-cycle 1.doc</v>
          </cell>
          <cell r="N70" t="str">
            <v>6 Aug 99: Retest after update. 13 Aug 99: The target date for Low is incorrect. 16 Aug 99: No Target Dates are displayed for any priority [Helen]. 17 Aug 99: Verified fix in v1.2 [Helen].</v>
          </cell>
          <cell r="O70" t="str">
            <v>P1</v>
          </cell>
          <cell r="P70">
            <v>1.2</v>
          </cell>
        </row>
        <row r="71">
          <cell r="A71">
            <v>70</v>
          </cell>
          <cell r="B71">
            <v>36377</v>
          </cell>
          <cell r="C71" t="str">
            <v>Helen</v>
          </cell>
          <cell r="D71" t="str">
            <v>U</v>
          </cell>
          <cell r="E71" t="str">
            <v>CT</v>
          </cell>
          <cell r="F71" t="str">
            <v>SC</v>
          </cell>
          <cell r="G71" t="str">
            <v>SCL</v>
          </cell>
          <cell r="H71" t="str">
            <v>L</v>
          </cell>
          <cell r="I71" t="str">
            <v>L</v>
          </cell>
          <cell r="J71" t="str">
            <v>Closed</v>
          </cell>
          <cell r="K71" t="str">
            <v>In the "Draft Item - View Log" screen, the column header "Member" is incorrect when searching via Relationships; it should be Relationship.</v>
          </cell>
          <cell r="L71" t="str">
            <v>-</v>
          </cell>
          <cell r="M71" t="str">
            <v>Incidents 5Aug99\Helen\05Aug99-cycle 1.doc</v>
          </cell>
          <cell r="N71" t="str">
            <v>6 Aug 99: Retest after update. 13 Aug 99: Helen verified the fix.</v>
          </cell>
          <cell r="O71" t="str">
            <v>P1</v>
          </cell>
          <cell r="P71">
            <v>1.2</v>
          </cell>
        </row>
        <row r="72">
          <cell r="A72">
            <v>71</v>
          </cell>
          <cell r="B72">
            <v>36377</v>
          </cell>
          <cell r="C72" t="str">
            <v>Helen</v>
          </cell>
          <cell r="D72" t="str">
            <v>U</v>
          </cell>
          <cell r="E72" t="str">
            <v>CT</v>
          </cell>
          <cell r="F72" t="str">
            <v>SC</v>
          </cell>
          <cell r="G72" t="str">
            <v>SCL</v>
          </cell>
          <cell r="H72" t="str">
            <v>L</v>
          </cell>
          <cell r="I72" t="str">
            <v>M</v>
          </cell>
          <cell r="J72" t="str">
            <v>Closed</v>
          </cell>
          <cell r="K72" t="str">
            <v>From the "Draft Item - View Log" screen, click a reference number to invoke "Draft Item" screen. From here it is not possible to go back to the "Draft Item - View Log" screen. This would be useful.</v>
          </cell>
          <cell r="L72" t="str">
            <v>-</v>
          </cell>
          <cell r="M72" t="str">
            <v>Incidents 5Aug99\Helen\05Aug99-cycle 1.doc</v>
          </cell>
          <cell r="N72" t="str">
            <v>5 Aug 99: Assume that this is Back button related. 6 Aug 99: Navigate back to draft list screen. 10 Aug 99: Retested by Helen; Passed.</v>
          </cell>
          <cell r="O72" t="str">
            <v>P1</v>
          </cell>
          <cell r="P72">
            <v>1.1000000000000001</v>
          </cell>
        </row>
        <row r="73">
          <cell r="A73">
            <v>72</v>
          </cell>
          <cell r="B73">
            <v>36377</v>
          </cell>
          <cell r="C73" t="str">
            <v>Helen</v>
          </cell>
          <cell r="D73" t="str">
            <v>U</v>
          </cell>
          <cell r="E73" t="str">
            <v>CT</v>
          </cell>
          <cell r="F73" t="str">
            <v>SC</v>
          </cell>
          <cell r="G73" t="str">
            <v>SCL</v>
          </cell>
          <cell r="H73" t="str">
            <v>M</v>
          </cell>
          <cell r="I73" t="str">
            <v>H</v>
          </cell>
          <cell r="J73" t="str">
            <v>Closed</v>
          </cell>
          <cell r="K73" t="str">
            <v>In the "View History - View Logs" screen the "Contact Date" column does not display the actual contact date (it seems to be today's date).</v>
          </cell>
          <cell r="L73" t="str">
            <v>-</v>
          </cell>
          <cell r="M73" t="str">
            <v>Incidents 5Aug99\Helen\05Aug99-cycle 1.doc</v>
          </cell>
          <cell r="N73" t="str">
            <v>6 Aug 99: System date shown for Contact Date column. 10 Aug 99: Retested by Helen; Passed.</v>
          </cell>
          <cell r="O73" t="str">
            <v>P1</v>
          </cell>
          <cell r="P73">
            <v>1.1000000000000001</v>
          </cell>
        </row>
        <row r="74">
          <cell r="A74">
            <v>73</v>
          </cell>
          <cell r="B74">
            <v>36377</v>
          </cell>
          <cell r="C74" t="str">
            <v>Helen</v>
          </cell>
          <cell r="D74" t="str">
            <v>U</v>
          </cell>
          <cell r="E74" t="str">
            <v>CT</v>
          </cell>
          <cell r="F74" t="str">
            <v>SC</v>
          </cell>
          <cell r="G74" t="str">
            <v>Inq</v>
          </cell>
          <cell r="H74" t="str">
            <v>L</v>
          </cell>
          <cell r="I74" t="str">
            <v>M</v>
          </cell>
          <cell r="J74" t="str">
            <v>Dup</v>
          </cell>
          <cell r="K74" t="str">
            <v xml:space="preserve">[See 30] Invoked "Action Item" relationship search from "Home" screen and got "Session Interrupt" message. Subsequently, nothing could be done in the "Action Item" option. Only after navigating to another functionality and coming back into "Action Items" </v>
          </cell>
          <cell r="L74" t="str">
            <v>-</v>
          </cell>
          <cell r="M74" t="str">
            <v>Incidents 5Aug99\Helen\05Aug99-cycle 1.doc</v>
          </cell>
          <cell r="N74" t="str">
            <v>6 Aug 99: Duplicate of 30. 18 Aug 99: 30 is now closed.</v>
          </cell>
          <cell r="O74" t="str">
            <v>P1</v>
          </cell>
          <cell r="P74">
            <v>1.1000000000000001</v>
          </cell>
        </row>
        <row r="75">
          <cell r="A75">
            <v>74</v>
          </cell>
          <cell r="B75">
            <v>36377</v>
          </cell>
          <cell r="C75" t="str">
            <v>Helen</v>
          </cell>
          <cell r="D75" t="str">
            <v>U</v>
          </cell>
          <cell r="E75" t="str">
            <v>CT</v>
          </cell>
          <cell r="F75" t="str">
            <v>SC</v>
          </cell>
          <cell r="G75" t="str">
            <v>SCL</v>
          </cell>
          <cell r="H75" t="str">
            <v>L</v>
          </cell>
          <cell r="I75" t="str">
            <v>M</v>
          </cell>
          <cell r="J75" t="str">
            <v>Dup</v>
          </cell>
          <cell r="K75" t="str">
            <v>[See 33] In the SCL's "New Item" screen, the "Add No" list box is often displayed as a spin box; the list box is more preferable. When "Add No" is displayed as a list box, the "Assigned To's" 2nd list box's size reduces!</v>
          </cell>
          <cell r="L75" t="str">
            <v>-</v>
          </cell>
          <cell r="M75" t="str">
            <v>Incidents 5Aug99\Helen\05Aug99-cycle 1.doc</v>
          </cell>
          <cell r="N75" t="str">
            <v>6 Aug 99: Need screen shots [Helen].</v>
          </cell>
          <cell r="O75" t="str">
            <v>P1</v>
          </cell>
          <cell r="P75">
            <v>1.2</v>
          </cell>
        </row>
        <row r="76">
          <cell r="A76">
            <v>75</v>
          </cell>
          <cell r="B76">
            <v>36376</v>
          </cell>
          <cell r="C76" t="str">
            <v>Iida</v>
          </cell>
          <cell r="D76" t="str">
            <v>U</v>
          </cell>
          <cell r="E76" t="str">
            <v>CT</v>
          </cell>
          <cell r="F76" t="str">
            <v>SC</v>
          </cell>
          <cell r="G76" t="str">
            <v>Inq</v>
          </cell>
          <cell r="H76" t="str">
            <v>L</v>
          </cell>
          <cell r="I76" t="str">
            <v>L</v>
          </cell>
          <cell r="J76" t="str">
            <v>Auth</v>
          </cell>
          <cell r="K76" t="str">
            <v>Performed a Member search from the Home screen for "Yu Tashiro" and invoked "Contact" from the results screen. The "Language" information is not shown.</v>
          </cell>
          <cell r="L76" t="str">
            <v>Tashiro 3.1.1, 3.1.2, 3.1.3 Search.doc</v>
          </cell>
          <cell r="M76" t="str">
            <v>-</v>
          </cell>
          <cell r="N76" t="str">
            <v>5 Aug 99: CW needed. Ask Dave what is in the dbs [Jacob]. 25 Aug 99: Changed from DI to CT; language information is not shown for other clients as well [Jacob] 25 Aug 99: Awaiting response from Satish Koul [Dave]</v>
          </cell>
          <cell r="O76" t="str">
            <v>P2</v>
          </cell>
        </row>
        <row r="77">
          <cell r="A77">
            <v>76</v>
          </cell>
          <cell r="B77">
            <v>36377</v>
          </cell>
          <cell r="C77" t="str">
            <v>Toda</v>
          </cell>
          <cell r="D77" t="str">
            <v>U</v>
          </cell>
          <cell r="E77" t="str">
            <v>NR</v>
          </cell>
          <cell r="F77" t="str">
            <v>PA</v>
          </cell>
          <cell r="G77" t="str">
            <v>EG</v>
          </cell>
          <cell r="H77" t="str">
            <v>L</v>
          </cell>
          <cell r="I77" t="str">
            <v>M</v>
          </cell>
          <cell r="J77" t="str">
            <v>Dup</v>
          </cell>
          <cell r="K77" t="str">
            <v>[See 12] On approval of CRs, it is not possible to choose a sub-set for rejection or approval. Only "all" or "nothing" is available.</v>
          </cell>
          <cell r="L77" t="str">
            <v>Aoki 4.4.doc</v>
          </cell>
          <cell r="M77" t="str">
            <v>-</v>
          </cell>
          <cell r="N77" t="str">
            <v>6 Aug 99: Duplicate of 12.</v>
          </cell>
          <cell r="O77" t="str">
            <v>P1</v>
          </cell>
          <cell r="P77">
            <v>1.2</v>
          </cell>
        </row>
        <row r="78">
          <cell r="A78">
            <v>77</v>
          </cell>
          <cell r="B78">
            <v>36376</v>
          </cell>
          <cell r="C78" t="str">
            <v>Tei</v>
          </cell>
          <cell r="D78" t="str">
            <v>U</v>
          </cell>
          <cell r="E78" t="str">
            <v>CT</v>
          </cell>
          <cell r="F78" t="str">
            <v>SC</v>
          </cell>
          <cell r="G78" t="str">
            <v>Inq</v>
          </cell>
          <cell r="H78" t="str">
            <v>M</v>
          </cell>
          <cell r="I78" t="str">
            <v>H</v>
          </cell>
          <cell r="J78" t="str">
            <v>Auth</v>
          </cell>
          <cell r="K78" t="str">
            <v>Performed a Member search from the Home screen for "Yu Tashiro" and invoked "Contact" from the results screen. It is not easy to distinguish which address is the mailing address since only Other and Business/Home are shown.</v>
          </cell>
          <cell r="L78" t="str">
            <v>Tashiro 3.2.4 PIN.doc</v>
          </cell>
          <cell r="M78" t="str">
            <v>-</v>
          </cell>
          <cell r="N78" t="str">
            <v xml:space="preserve">5 Aug 99: Does CW distinguish between addresses? Ask Dave [Jacob]. 25 Aug 99: ClientWise does distinguish-CSP does not. Sent e-mail with specs to Sandeep [Keith] </v>
          </cell>
          <cell r="O78" t="str">
            <v>P2</v>
          </cell>
        </row>
        <row r="79">
          <cell r="A79">
            <v>78</v>
          </cell>
          <cell r="B79">
            <v>36377</v>
          </cell>
          <cell r="C79" t="str">
            <v>Iida</v>
          </cell>
          <cell r="D79" t="str">
            <v>U</v>
          </cell>
          <cell r="E79" t="str">
            <v>MC</v>
          </cell>
          <cell r="F79" t="str">
            <v>JR</v>
          </cell>
          <cell r="G79" t="str">
            <v>Inq</v>
          </cell>
          <cell r="H79" t="str">
            <v>L</v>
          </cell>
          <cell r="I79" t="str">
            <v>M</v>
          </cell>
          <cell r="J79" t="str">
            <v>Closed</v>
          </cell>
          <cell r="K79" t="str">
            <v>In the relationship search results screen, expected to see the "Filter" option in the top bar; it's in the bottom bar.</v>
          </cell>
          <cell r="L79" t="str">
            <v>Yagi 3.3.1, 3.3.2, 3.3.3.doc</v>
          </cell>
          <cell r="M79" t="str">
            <v>-</v>
          </cell>
          <cell r="N79" t="str">
            <v>5 Aug 99: TC is incorrect. In an attempt to make CSP consistent with ClientWise's terminology, the Filter option in the top bar is now renamed to Reports.</v>
          </cell>
          <cell r="O79" t="str">
            <v>P1</v>
          </cell>
          <cell r="P79">
            <v>1</v>
          </cell>
        </row>
        <row r="80">
          <cell r="A80">
            <v>79</v>
          </cell>
          <cell r="B80">
            <v>36377</v>
          </cell>
          <cell r="C80" t="str">
            <v>Miranda</v>
          </cell>
          <cell r="D80" t="str">
            <v>U</v>
          </cell>
          <cell r="E80" t="str">
            <v>CT</v>
          </cell>
          <cell r="F80" t="str">
            <v>SC</v>
          </cell>
          <cell r="G80" t="str">
            <v>Cor</v>
          </cell>
          <cell r="H80" t="str">
            <v>M</v>
          </cell>
          <cell r="I80" t="str">
            <v>H</v>
          </cell>
          <cell r="J80" t="str">
            <v>Closed</v>
          </cell>
          <cell r="K80" t="str">
            <v>The HK product processors are not included with the HostId.</v>
          </cell>
          <cell r="L80" t="str">
            <v>-</v>
          </cell>
          <cell r="M80" t="str">
            <v>-</v>
          </cell>
          <cell r="N80" t="str">
            <v>6 Aug 99: Duplicate of 65.</v>
          </cell>
          <cell r="O80" t="str">
            <v>P1</v>
          </cell>
          <cell r="P80">
            <v>1.1000000000000001</v>
          </cell>
        </row>
        <row r="81">
          <cell r="A81">
            <v>80</v>
          </cell>
          <cell r="B81">
            <v>36377</v>
          </cell>
          <cell r="C81" t="str">
            <v>Andrew</v>
          </cell>
          <cell r="D81" t="str">
            <v>U</v>
          </cell>
          <cell r="E81" t="str">
            <v>CT</v>
          </cell>
          <cell r="F81" t="str">
            <v>SC</v>
          </cell>
          <cell r="G81" t="str">
            <v>EG</v>
          </cell>
          <cell r="H81" t="str">
            <v>M</v>
          </cell>
          <cell r="I81" t="str">
            <v>H</v>
          </cell>
          <cell r="J81" t="str">
            <v>Closed</v>
          </cell>
          <cell r="K81" t="str">
            <v>[See 42, 248] When base is de-linked and later linked again, the system does not re-calculate the values in the relationship overview.</v>
          </cell>
          <cell r="L81" t="str">
            <v>-</v>
          </cell>
          <cell r="M81" t="str">
            <v>Incidents 5Aug99\Andrew\Aug 05 PC 1 (am).doc</v>
          </cell>
          <cell r="N81" t="str">
            <v>16 Aug 99: Failed verification in v1.2 by Andrew. 23 Aug 99: Fixed in v1.3 [Sandeep]. Verified fix in v1.3 [Andrew].</v>
          </cell>
          <cell r="O81" t="str">
            <v>P1</v>
          </cell>
          <cell r="P81">
            <v>1.3</v>
          </cell>
        </row>
        <row r="82">
          <cell r="A82">
            <v>81</v>
          </cell>
          <cell r="B82">
            <v>36377</v>
          </cell>
          <cell r="C82" t="str">
            <v>Andrew</v>
          </cell>
          <cell r="D82" t="str">
            <v>U</v>
          </cell>
          <cell r="E82" t="str">
            <v>CT</v>
          </cell>
          <cell r="F82" t="str">
            <v>SC</v>
          </cell>
          <cell r="G82" t="str">
            <v>Inq</v>
          </cell>
          <cell r="H82" t="str">
            <v>M</v>
          </cell>
          <cell r="I82" t="str">
            <v>H</v>
          </cell>
          <cell r="J82" t="str">
            <v>Closed</v>
          </cell>
          <cell r="K82" t="str">
            <v>[See 42, 98, 99] Although both the Portfolios of “Findborn” are pledged, the system does not display the “Y” information.</v>
          </cell>
          <cell r="L82" t="str">
            <v>-</v>
          </cell>
          <cell r="M82" t="str">
            <v>Incidents 5Aug99\Andrew\Aug 05 PC 1 (am).doc</v>
          </cell>
          <cell r="N82" t="str">
            <v>16 Aug 99: Verified by Andrew in v1.2? 23 Aug 99: Changed from DI to CT [Sam]. 24 Aug 99: Andrew to retest [Sam] 25 Aug 99: Verified by Andrew.</v>
          </cell>
          <cell r="O82" t="str">
            <v>P1</v>
          </cell>
          <cell r="P82">
            <v>1.3</v>
          </cell>
        </row>
        <row r="83">
          <cell r="A83">
            <v>82</v>
          </cell>
          <cell r="B83">
            <v>36377</v>
          </cell>
          <cell r="C83" t="str">
            <v>Andrew</v>
          </cell>
          <cell r="D83" t="str">
            <v>U</v>
          </cell>
          <cell r="E83" t="str">
            <v>CT</v>
          </cell>
          <cell r="F83" t="str">
            <v>SC</v>
          </cell>
          <cell r="G83" t="str">
            <v>Inq</v>
          </cell>
          <cell r="H83" t="str">
            <v>L</v>
          </cell>
          <cell r="I83" t="str">
            <v>L</v>
          </cell>
          <cell r="J83" t="str">
            <v>Closed</v>
          </cell>
          <cell r="K83" t="str">
            <v>Tried to search by “Portfolio” tab in Home screen. Put in the portfolio number and selected a wrong PF location from the picklist. There was an error message to inform users that there is no matching criteria. By clicking on the OK button, user is brought</v>
          </cell>
          <cell r="L83" t="str">
            <v>-</v>
          </cell>
          <cell r="M83" t="str">
            <v>Incidents 5Aug99\Andrew\Aug 05 PC 1 (am).doc</v>
          </cell>
          <cell r="N83" t="str">
            <v>9 Aug 99: Changed from DR to CT. 10 Aug 99: Verified fix by Andrew.</v>
          </cell>
          <cell r="O83" t="str">
            <v>P1</v>
          </cell>
          <cell r="P83">
            <v>1.1000000000000001</v>
          </cell>
        </row>
        <row r="84">
          <cell r="A84">
            <v>83</v>
          </cell>
          <cell r="B84">
            <v>36377</v>
          </cell>
          <cell r="C84" t="str">
            <v>Andrew</v>
          </cell>
          <cell r="D84" t="str">
            <v>U</v>
          </cell>
          <cell r="E84" t="str">
            <v>DR</v>
          </cell>
          <cell r="F84" t="str">
            <v>AW</v>
          </cell>
          <cell r="G84" t="str">
            <v>EG</v>
          </cell>
          <cell r="H84" t="str">
            <v>M</v>
          </cell>
          <cell r="I84" t="str">
            <v>H</v>
          </cell>
          <cell r="J84" t="str">
            <v>Closed</v>
          </cell>
          <cell r="K84" t="str">
            <v>Multi-Branch Singapore base 700442 not able to be linked in CSP. Error message says that 700442 not found. Per technology explanation, this account does not have Waiver, thus it is not fed into CSP. This needs further exploration, as it is contrary to use</v>
          </cell>
          <cell r="L84" t="str">
            <v>-</v>
          </cell>
          <cell r="M84" t="str">
            <v>Incidents 5Aug99\Andrew\Aug 05 PC 1 (am).doc</v>
          </cell>
          <cell r="N84" t="str">
            <v>16 Aug 99:Fixed in 7 Jul feed [Aegidia].</v>
          </cell>
          <cell r="O84" t="str">
            <v>P1</v>
          </cell>
          <cell r="P84">
            <v>1.2</v>
          </cell>
        </row>
        <row r="85">
          <cell r="A85">
            <v>84</v>
          </cell>
          <cell r="B85">
            <v>36377</v>
          </cell>
          <cell r="C85" t="str">
            <v>Andrew</v>
          </cell>
          <cell r="D85" t="str">
            <v>U</v>
          </cell>
          <cell r="E85" t="str">
            <v>NR</v>
          </cell>
          <cell r="F85" t="str">
            <v>PA</v>
          </cell>
          <cell r="G85" t="str">
            <v>EG</v>
          </cell>
          <cell r="H85" t="str">
            <v>S</v>
          </cell>
          <cell r="I85" t="str">
            <v>H</v>
          </cell>
          <cell r="J85" t="str">
            <v>Closed</v>
          </cell>
          <cell r="K85" t="str">
            <v>[See 88] The roles of members at the GEG level have been setup. However, we are not able to assign the members’ roles at the account level. This is necessary because the signing authority could very well be different for each account in each LEG.</v>
          </cell>
          <cell r="L85" t="str">
            <v>-</v>
          </cell>
          <cell r="M85" t="str">
            <v>Incidents 5Aug99\Andrew\Aug 05 PC 1 (am).doc</v>
          </cell>
          <cell r="N85" t="str">
            <v>24 Aug 99: Andrew to retest [Sam]. 27 Aug 99: Should not be treated as NR [Sam]. 3 Sep 99: Fixed in v1.5 [Sandeep]. 4 Sep 99: Fixed verified in v1.5 [Andrew].</v>
          </cell>
          <cell r="O85" t="str">
            <v>P1</v>
          </cell>
          <cell r="P85">
            <v>1.5</v>
          </cell>
        </row>
        <row r="86">
          <cell r="A86">
            <v>85</v>
          </cell>
          <cell r="B86">
            <v>36377</v>
          </cell>
          <cell r="C86" t="str">
            <v>Andrew</v>
          </cell>
          <cell r="D86" t="str">
            <v>U</v>
          </cell>
          <cell r="E86" t="str">
            <v>CT</v>
          </cell>
          <cell r="F86" t="str">
            <v>SC</v>
          </cell>
          <cell r="G86" t="str">
            <v>EG</v>
          </cell>
          <cell r="H86" t="str">
            <v>M</v>
          </cell>
          <cell r="I86" t="str">
            <v>H</v>
          </cell>
          <cell r="J86" t="str">
            <v>Closed</v>
          </cell>
          <cell r="K86" t="str">
            <v>[See 217] Used Fiona Hung to edit the GEG of “Koh Yok Yin, Betty” to Sole Owner. When Alex Lai logged in to approve, in the bottom screen, one can see that the “Done By” is still showing Faith Chua. This is incorrect.</v>
          </cell>
          <cell r="L86" t="str">
            <v>-</v>
          </cell>
          <cell r="M86" t="str">
            <v>Incidents 5Aug99\Andrew\Aug 05 PC 1 (am).doc</v>
          </cell>
          <cell r="N86" t="str">
            <v>9 Aug 99: Changed from CT to UT. 24 Aug 99: Changed back to CT and very high priority [Sam]. Andrew to re-test as it is not possible to reproduce this incident [Sandeep]. 25 Aug 99: Verified by Andrew.</v>
          </cell>
          <cell r="O86" t="str">
            <v>P1</v>
          </cell>
          <cell r="P86">
            <v>1.4</v>
          </cell>
        </row>
        <row r="87">
          <cell r="A87">
            <v>86</v>
          </cell>
          <cell r="B87">
            <v>36377</v>
          </cell>
          <cell r="C87" t="str">
            <v>Andrew</v>
          </cell>
          <cell r="D87" t="str">
            <v>U</v>
          </cell>
          <cell r="E87" t="str">
            <v>CT</v>
          </cell>
          <cell r="F87" t="str">
            <v>SC</v>
          </cell>
          <cell r="G87" t="str">
            <v>Inq</v>
          </cell>
          <cell r="H87" t="str">
            <v>M</v>
          </cell>
          <cell r="I87" t="str">
            <v>H</v>
          </cell>
          <cell r="J87" t="str">
            <v>Closed</v>
          </cell>
          <cell r="K87" t="str">
            <v>Following Citisafe Ids get this error message (“Error !! Please Contact Technology with this key: INQ000131436819990805141539. The Error Message is “Error in getting CW Info”)when CSP is launched: 0001314368.</v>
          </cell>
          <cell r="L87" t="str">
            <v>-</v>
          </cell>
          <cell r="M87" t="str">
            <v>Incidents 5Aug99\Andrew\Aug 05 PC 1 (am).doc</v>
          </cell>
          <cell r="N87" t="str">
            <v>10 Aug 99: Verified fix by Andrew.</v>
          </cell>
          <cell r="O87" t="str">
            <v>P1</v>
          </cell>
          <cell r="P87">
            <v>1.1000000000000001</v>
          </cell>
        </row>
        <row r="88">
          <cell r="A88">
            <v>87</v>
          </cell>
          <cell r="B88">
            <v>36377</v>
          </cell>
          <cell r="C88" t="str">
            <v>Andrew</v>
          </cell>
          <cell r="D88" t="str">
            <v>U</v>
          </cell>
          <cell r="E88" t="str">
            <v>CT</v>
          </cell>
          <cell r="F88" t="str">
            <v>SC</v>
          </cell>
          <cell r="G88" t="str">
            <v>Inq</v>
          </cell>
          <cell r="H88" t="str">
            <v>M</v>
          </cell>
          <cell r="I88" t="str">
            <v>H</v>
          </cell>
          <cell r="J88" t="str">
            <v>Dup</v>
          </cell>
          <cell r="K88" t="str">
            <v>[See 41] When trying to Filter from the bottom tool bar, I get this error message when in actual fact from position inquiry, this client has holdings: “Error !! Please Contact Technology with this key: INQ000131436819990805062630. Error in getting Account</v>
          </cell>
          <cell r="L88" t="str">
            <v>-</v>
          </cell>
          <cell r="M88" t="str">
            <v>Incidents 5Aug99\Andrew\Aug 05 PC 1 (am).doc</v>
          </cell>
          <cell r="N88" t="str">
            <v>6 Aug 99: Duplicate of 41. 16 Aug 99: Verified by Andrew in v1.2. 24 Aug 99: Closed [Sam]</v>
          </cell>
          <cell r="O88" t="str">
            <v>P1</v>
          </cell>
          <cell r="P88">
            <v>1.1000000000000001</v>
          </cell>
        </row>
        <row r="89">
          <cell r="A89">
            <v>88</v>
          </cell>
          <cell r="B89">
            <v>36377</v>
          </cell>
          <cell r="C89" t="str">
            <v>Andrew</v>
          </cell>
          <cell r="D89" t="str">
            <v>U</v>
          </cell>
          <cell r="E89" t="str">
            <v>NR</v>
          </cell>
          <cell r="F89" t="str">
            <v>PA</v>
          </cell>
          <cell r="G89" t="str">
            <v>EG</v>
          </cell>
          <cell r="H89" t="str">
            <v>S</v>
          </cell>
          <cell r="I89" t="str">
            <v>H</v>
          </cell>
          <cell r="J89" t="str">
            <v>Dup</v>
          </cell>
          <cell r="K89" t="str">
            <v>[See 84] The 2 owners (Foo Wen Kon and Chan Swee Har) should be in the “Members” under Define Roles. This is because we need to define the Signing Authority of these 2 members. Ownership of GEG is a different function from Signing Authority of LEGs and Ac</v>
          </cell>
          <cell r="L89" t="str">
            <v>-</v>
          </cell>
          <cell r="M89" t="str">
            <v>Incidents 5Aug99\Andrew\Aug 05 PC 1 (am).doc</v>
          </cell>
          <cell r="N89" t="str">
            <v>6 Aug 99: Duplicate of 84.</v>
          </cell>
          <cell r="O89" t="str">
            <v>P1</v>
          </cell>
        </row>
        <row r="90">
          <cell r="A90">
            <v>89</v>
          </cell>
          <cell r="B90">
            <v>36378</v>
          </cell>
          <cell r="C90" t="str">
            <v>Tei</v>
          </cell>
          <cell r="D90" t="str">
            <v>U</v>
          </cell>
          <cell r="E90" t="str">
            <v>NR</v>
          </cell>
          <cell r="F90" t="str">
            <v>PA</v>
          </cell>
          <cell r="G90" t="str">
            <v>Inq</v>
          </cell>
          <cell r="H90" t="str">
            <v>L</v>
          </cell>
          <cell r="I90" t="str">
            <v>M</v>
          </cell>
          <cell r="J90" t="str">
            <v>Auth</v>
          </cell>
          <cell r="K90" t="str">
            <v>In the Portfolio search screen, entering a PF number without the "/" gives "No Matching Data for this Search Criteria" message. We'd like to be able to enter the PF number without the "/".</v>
          </cell>
          <cell r="L90" t="str">
            <v>-</v>
          </cell>
          <cell r="M90" t="str">
            <v>-</v>
          </cell>
          <cell r="N90" t="str">
            <v>27 Aug 99: OK for Phase 2 [Jacob].</v>
          </cell>
          <cell r="O90" t="str">
            <v>P2</v>
          </cell>
        </row>
        <row r="91">
          <cell r="A91">
            <v>90</v>
          </cell>
          <cell r="B91">
            <v>36378</v>
          </cell>
          <cell r="C91" t="str">
            <v>Tei</v>
          </cell>
          <cell r="D91" t="str">
            <v>U</v>
          </cell>
          <cell r="E91" t="str">
            <v>NR</v>
          </cell>
          <cell r="F91" t="str">
            <v>PA</v>
          </cell>
          <cell r="G91" t="str">
            <v>Inq</v>
          </cell>
          <cell r="H91" t="str">
            <v>L</v>
          </cell>
          <cell r="I91" t="str">
            <v>L</v>
          </cell>
          <cell r="J91" t="str">
            <v>Auth</v>
          </cell>
          <cell r="K91" t="str">
            <v>From the PF search screen, it would be nice to view the entire account by entering only the first 10 digits of the PF number.</v>
          </cell>
          <cell r="L91" t="str">
            <v>-</v>
          </cell>
          <cell r="M91" t="str">
            <v>-</v>
          </cell>
          <cell r="N91" t="str">
            <v>27 Aug 99: OK for Phase 2 [Jacob].</v>
          </cell>
          <cell r="O91" t="str">
            <v>P2</v>
          </cell>
        </row>
        <row r="92">
          <cell r="A92">
            <v>91</v>
          </cell>
          <cell r="B92">
            <v>36377</v>
          </cell>
          <cell r="C92" t="str">
            <v>Miranda</v>
          </cell>
          <cell r="D92" t="str">
            <v>U</v>
          </cell>
          <cell r="E92" t="str">
            <v>CT</v>
          </cell>
          <cell r="F92" t="str">
            <v>SC</v>
          </cell>
          <cell r="G92" t="str">
            <v>EG</v>
          </cell>
          <cell r="H92" t="str">
            <v>L</v>
          </cell>
          <cell r="I92" t="str">
            <v>L</v>
          </cell>
          <cell r="J92" t="str">
            <v>Closed</v>
          </cell>
          <cell r="K92" t="str">
            <v>The Product Processor list box needs to increase in size to accommodate the full length of the text (View Unlink tab of EG Setup).</v>
          </cell>
          <cell r="L92" t="str">
            <v>-</v>
          </cell>
          <cell r="M92" t="str">
            <v>Incidents 5Aug99\Miranda\mc-CSP UAT INCIDENTS ON AUG. 5.doc</v>
          </cell>
          <cell r="N92" t="str">
            <v>10 Aug 99: Miranda verified fix.</v>
          </cell>
          <cell r="O92" t="str">
            <v>P1</v>
          </cell>
          <cell r="P92">
            <v>1.1000000000000001</v>
          </cell>
        </row>
        <row r="93">
          <cell r="A93">
            <v>92</v>
          </cell>
          <cell r="B93">
            <v>36377</v>
          </cell>
          <cell r="C93" t="str">
            <v>Miranda</v>
          </cell>
          <cell r="D93" t="str">
            <v>U</v>
          </cell>
          <cell r="E93" t="str">
            <v>CT</v>
          </cell>
          <cell r="F93" t="str">
            <v>SC</v>
          </cell>
          <cell r="G93" t="str">
            <v>Inq</v>
          </cell>
          <cell r="H93" t="str">
            <v>M</v>
          </cell>
          <cell r="I93" t="str">
            <v>H</v>
          </cell>
          <cell r="J93" t="str">
            <v>Closed</v>
          </cell>
          <cell r="K93" t="str">
            <v xml:space="preserve">In Position Details screen for Equities, the “Avg Unit Cost” should be displayed in 3dp as per SBOS. </v>
          </cell>
          <cell r="L93" t="str">
            <v>-</v>
          </cell>
          <cell r="M93" t="str">
            <v>Incidents 5Aug99\Miranda\mc-CSP UAT INCIDENTS ON AUG. 5.doc</v>
          </cell>
          <cell r="N93" t="str">
            <v>10 Aug 99: Miranda verified fix.</v>
          </cell>
          <cell r="O93" t="str">
            <v>P1</v>
          </cell>
          <cell r="P93">
            <v>1.1000000000000001</v>
          </cell>
        </row>
        <row r="94">
          <cell r="A94">
            <v>93</v>
          </cell>
          <cell r="B94">
            <v>36377</v>
          </cell>
          <cell r="C94" t="str">
            <v>Miranda</v>
          </cell>
          <cell r="D94" t="str">
            <v>U</v>
          </cell>
          <cell r="E94" t="str">
            <v>CT</v>
          </cell>
          <cell r="F94" t="str">
            <v>SC</v>
          </cell>
          <cell r="G94" t="str">
            <v>Inq</v>
          </cell>
          <cell r="H94" t="str">
            <v>M</v>
          </cell>
          <cell r="I94" t="str">
            <v>H</v>
          </cell>
          <cell r="J94" t="str">
            <v>Closed</v>
          </cell>
          <cell r="K94" t="str">
            <v>In the Position Details screen for Corporate Bonds, the “Coupon Rate” should be shown with at least 4dp.</v>
          </cell>
          <cell r="L94" t="str">
            <v>-</v>
          </cell>
          <cell r="M94" t="str">
            <v>Incidents 5Aug99\Miranda\mc-CSP UAT INCIDENTS ON AUG. 5.doc</v>
          </cell>
          <cell r="N94" t="str">
            <v>10 Aug 99: Miranda verified fix.</v>
          </cell>
          <cell r="O94" t="str">
            <v>P1</v>
          </cell>
          <cell r="P94">
            <v>1.1000000000000001</v>
          </cell>
        </row>
        <row r="95">
          <cell r="A95">
            <v>94</v>
          </cell>
          <cell r="B95">
            <v>36377</v>
          </cell>
          <cell r="C95" t="str">
            <v>Miranda</v>
          </cell>
          <cell r="D95" t="str">
            <v>U</v>
          </cell>
          <cell r="E95" t="str">
            <v>DR</v>
          </cell>
          <cell r="F95" t="str">
            <v>AW</v>
          </cell>
          <cell r="G95" t="str">
            <v>Inq</v>
          </cell>
          <cell r="H95" t="str">
            <v>S</v>
          </cell>
          <cell r="I95" t="str">
            <v>H</v>
          </cell>
          <cell r="J95" t="str">
            <v>Closed</v>
          </cell>
          <cell r="K95" t="str">
            <v>In the Position Details screen for Corporate Bonds, the calculation of principal amount should be based on average unit cost which is in percentage for bonds. The figure as currently shown is clearly wrong.</v>
          </cell>
          <cell r="L95" t="str">
            <v>-</v>
          </cell>
          <cell r="M95" t="str">
            <v>Incidents 5Aug99\Miranda\mc-CSP UAT INCIDENTS ON AUG. 5.doc</v>
          </cell>
          <cell r="N95" t="str">
            <v>17 Aug 99: Verified by Miranda in v1.2. 27 Aug 99: Re-raised by Miranda</v>
          </cell>
          <cell r="O95" t="str">
            <v>P1</v>
          </cell>
          <cell r="P95">
            <v>1.2</v>
          </cell>
        </row>
        <row r="96">
          <cell r="A96">
            <v>95</v>
          </cell>
          <cell r="B96">
            <v>36377</v>
          </cell>
          <cell r="C96" t="str">
            <v>Miranda</v>
          </cell>
          <cell r="D96" t="str">
            <v>U</v>
          </cell>
          <cell r="E96" t="str">
            <v>DR</v>
          </cell>
          <cell r="F96" t="str">
            <v>AW</v>
          </cell>
          <cell r="G96" t="str">
            <v>Inq</v>
          </cell>
          <cell r="H96" t="str">
            <v>M</v>
          </cell>
          <cell r="I96" t="str">
            <v>H</v>
          </cell>
          <cell r="J96" t="str">
            <v>Closed</v>
          </cell>
          <cell r="K96" t="str">
            <v>In the Position Details screen for Corporate Bonds, wrong figures are shown in the column of “Total P+I”.</v>
          </cell>
          <cell r="L96" t="str">
            <v>-</v>
          </cell>
          <cell r="M96" t="str">
            <v>Incidents 5Aug99\Miranda\mc-CSP UAT INCIDENTS ON AUG. 5.doc</v>
          </cell>
          <cell r="N96" t="str">
            <v>16 Aug 99:Fixed in 7 Jul feed [Aegidia]. 17 Aug 99: Verified by Miranda in v1.2.</v>
          </cell>
          <cell r="O96" t="str">
            <v>P1</v>
          </cell>
          <cell r="P96">
            <v>1.2</v>
          </cell>
        </row>
        <row r="97">
          <cell r="A97">
            <v>96</v>
          </cell>
          <cell r="B97">
            <v>36377</v>
          </cell>
          <cell r="C97" t="str">
            <v>Miranda</v>
          </cell>
          <cell r="D97" t="str">
            <v>U</v>
          </cell>
          <cell r="E97" t="str">
            <v>DR</v>
          </cell>
          <cell r="F97" t="str">
            <v>AW</v>
          </cell>
          <cell r="G97" t="str">
            <v>Inq</v>
          </cell>
          <cell r="H97" t="str">
            <v>M</v>
          </cell>
          <cell r="I97" t="str">
            <v>H</v>
          </cell>
          <cell r="J97" t="str">
            <v>Closed</v>
          </cell>
          <cell r="K97" t="str">
            <v>In the Position Details screen for Corporate Bonds, all the nominal currencies for corporate bonds are in SGD instead of HKD in this account.</v>
          </cell>
          <cell r="L97" t="str">
            <v>-</v>
          </cell>
          <cell r="M97" t="str">
            <v>Incidents 5Aug99\Miranda\mc-CSP UAT INCIDENTS ON AUG. 5.doc</v>
          </cell>
          <cell r="N97" t="str">
            <v>16 Aug 99:Fixed in 7 Jul feed [Aegidia]. 17 Aug 99: Verified by Miranda in v1.2.</v>
          </cell>
          <cell r="O97" t="str">
            <v>P1</v>
          </cell>
          <cell r="P97">
            <v>1.2</v>
          </cell>
        </row>
        <row r="98">
          <cell r="A98">
            <v>97</v>
          </cell>
          <cell r="B98">
            <v>36377</v>
          </cell>
          <cell r="C98" t="str">
            <v>Miranda</v>
          </cell>
          <cell r="D98" t="str">
            <v>U</v>
          </cell>
          <cell r="E98" t="str">
            <v>CT</v>
          </cell>
          <cell r="F98" t="str">
            <v>SC</v>
          </cell>
          <cell r="G98" t="str">
            <v>Inq</v>
          </cell>
          <cell r="H98" t="str">
            <v>M</v>
          </cell>
          <cell r="I98" t="str">
            <v>H</v>
          </cell>
          <cell r="J98" t="str">
            <v>Closed</v>
          </cell>
          <cell r="K98" t="str">
            <v>In the Position Details screen for Corporate Bonds, there are no figures in the entire total (P+I) amount in SGD and USD.</v>
          </cell>
          <cell r="L98" t="str">
            <v>-</v>
          </cell>
          <cell r="M98" t="str">
            <v>..\SCREEN SHOTS\Incidents 26 Aug\Miranda\CSP UAT Incidents on Aug. 24 - MC.doc</v>
          </cell>
          <cell r="N98" t="str">
            <v>16 Aug 99:Fixed in 7 Jul feed [Aegidia]. 24 Aug 99: Re-raised and very high priority [Sam]. 25 Aug 99: Changed from DR to CT [Aegidia]. 26 Aug 99: Re-test failed [Miranda] 30 Aug 99: Verified by Miranda.</v>
          </cell>
          <cell r="O98" t="str">
            <v>P1</v>
          </cell>
          <cell r="P98">
            <v>1.2</v>
          </cell>
        </row>
        <row r="99">
          <cell r="A99">
            <v>98</v>
          </cell>
          <cell r="B99">
            <v>36377</v>
          </cell>
          <cell r="C99" t="str">
            <v>Miranda</v>
          </cell>
          <cell r="D99" t="str">
            <v>U</v>
          </cell>
          <cell r="E99" t="str">
            <v>CT</v>
          </cell>
          <cell r="F99" t="str">
            <v>SC</v>
          </cell>
          <cell r="G99" t="str">
            <v>Inq</v>
          </cell>
          <cell r="H99" t="str">
            <v>M</v>
          </cell>
          <cell r="I99" t="str">
            <v>H</v>
          </cell>
          <cell r="J99" t="str">
            <v>Closed</v>
          </cell>
          <cell r="K99" t="str">
            <v>[See 81, 99] In the Position Details screen for Portfolio Details, “Pledged” could be removed from “PF Ref Ccy Pledged” as it is similar to the meaning of “Blocked”.</v>
          </cell>
          <cell r="L99" t="str">
            <v>-</v>
          </cell>
          <cell r="M99" t="str">
            <v>..\SCREEN SHOTS\Incidents 26 Aug\Miranda\CSP UAT Incidents on Aug. 24 - MC.doc</v>
          </cell>
          <cell r="N99" t="str">
            <v>Standardize all to block. 24 Aug 99: Changed to CT; notified Sandeep to standardize all cases to "block" [Sam] 26 Aug 99: Re-raised by Miranda. 30 Aug 99: Verified by Miranda.</v>
          </cell>
          <cell r="O99" t="str">
            <v>P1</v>
          </cell>
          <cell r="P99">
            <v>1.4</v>
          </cell>
        </row>
        <row r="100">
          <cell r="A100">
            <v>99</v>
          </cell>
          <cell r="B100">
            <v>36377</v>
          </cell>
          <cell r="C100" t="str">
            <v>Miranda</v>
          </cell>
          <cell r="D100" t="str">
            <v>U</v>
          </cell>
          <cell r="E100" t="str">
            <v>CT</v>
          </cell>
          <cell r="F100" t="str">
            <v>SC</v>
          </cell>
          <cell r="G100" t="str">
            <v>Inq</v>
          </cell>
          <cell r="H100" t="str">
            <v>S</v>
          </cell>
          <cell r="I100" t="str">
            <v>H</v>
          </cell>
          <cell r="J100" t="str">
            <v>Closed</v>
          </cell>
          <cell r="K100" t="str">
            <v>[See 81, 98] In the EG Overview screen under Location Details, the pledge status should be shown according to the record in SBOS.</v>
          </cell>
          <cell r="L100" t="str">
            <v>-</v>
          </cell>
          <cell r="M100" t="str">
            <v>..\SCREEN SHOTS\Incidents 26 Aug\Miranda\CSP UAT Incidents on Aug. 24 - MC.doc</v>
          </cell>
          <cell r="N100" t="str">
            <v>24 Aug 99: Should be CT and very high priority; NOT a duplicate of 81 and 98 as the incidents refer to different screens [Sam] 26 Aug 99: Re-raised by Miranda. 30 Aug 99: Verified by Miranda.</v>
          </cell>
          <cell r="O100" t="str">
            <v>P1</v>
          </cell>
          <cell r="P100">
            <v>1.4</v>
          </cell>
        </row>
        <row r="101">
          <cell r="A101">
            <v>100</v>
          </cell>
          <cell r="B101">
            <v>36377</v>
          </cell>
          <cell r="C101" t="str">
            <v>Miranda</v>
          </cell>
          <cell r="D101" t="str">
            <v>U</v>
          </cell>
          <cell r="E101" t="str">
            <v>CT</v>
          </cell>
          <cell r="F101" t="str">
            <v>SC</v>
          </cell>
          <cell r="G101" t="str">
            <v>Inq</v>
          </cell>
          <cell r="H101" t="str">
            <v>M</v>
          </cell>
          <cell r="I101" t="str">
            <v>H</v>
          </cell>
          <cell r="J101" t="str">
            <v>Closed</v>
          </cell>
          <cell r="K101" t="str">
            <v>In the Position Details screen for Call Deposits, the “Total Available Balance in Reln Ref CCY (USD)” is not shown correctly.</v>
          </cell>
          <cell r="L101" t="str">
            <v>-</v>
          </cell>
          <cell r="M101" t="str">
            <v>..\SCREEN SHOTS\Incidents 26 Aug\Miranda\CSP UAT Incidents on Aug. 24 - MC.doc</v>
          </cell>
          <cell r="N101" t="str">
            <v>16 Aug 99:Fixed in 7 Jul feed [Aegidia]. 24 Aug 99: Re-raised by Miranda [Sam]. 25 Aug 99: Changed from DR to CT [Aegidia]. 26 Aug 99: Re-test failed [Miranda]. 30 Aug 99: Verified by Miranda.</v>
          </cell>
          <cell r="O101" t="str">
            <v>P1</v>
          </cell>
          <cell r="P101">
            <v>1.4</v>
          </cell>
        </row>
        <row r="102">
          <cell r="A102">
            <v>101</v>
          </cell>
          <cell r="B102">
            <v>36377</v>
          </cell>
          <cell r="C102" t="str">
            <v>Miranda</v>
          </cell>
          <cell r="D102" t="str">
            <v>U</v>
          </cell>
          <cell r="E102" t="str">
            <v>NR</v>
          </cell>
          <cell r="F102" t="str">
            <v>PA</v>
          </cell>
          <cell r="G102" t="str">
            <v>EG</v>
          </cell>
          <cell r="H102" t="str">
            <v>L</v>
          </cell>
          <cell r="I102" t="str">
            <v>M</v>
          </cell>
          <cell r="J102" t="str">
            <v>Auth</v>
          </cell>
          <cell r="K102" t="str">
            <v>In the View Unlink screen, it would be useful to have function keys to go to “first page” and “last page”.</v>
          </cell>
          <cell r="L102" t="str">
            <v>-</v>
          </cell>
          <cell r="M102" t="str">
            <v>Incidents 5Aug99\Miranda\mc-CSP UAT INCIDENTS ON AUG. 5.doc</v>
          </cell>
          <cell r="O102" t="str">
            <v>P2</v>
          </cell>
        </row>
        <row r="103">
          <cell r="A103">
            <v>102</v>
          </cell>
          <cell r="B103">
            <v>36377</v>
          </cell>
          <cell r="C103" t="str">
            <v>Miranda</v>
          </cell>
          <cell r="D103" t="str">
            <v>U</v>
          </cell>
          <cell r="E103" t="str">
            <v>CT</v>
          </cell>
          <cell r="F103" t="str">
            <v>SC</v>
          </cell>
          <cell r="G103" t="str">
            <v>Inq</v>
          </cell>
          <cell r="H103" t="str">
            <v>M</v>
          </cell>
          <cell r="I103" t="str">
            <v>H</v>
          </cell>
          <cell r="J103" t="str">
            <v>Auth</v>
          </cell>
          <cell r="K103" t="str">
            <v>In the Position Details screen, the “% Total Value” should show a value not “N/A”.</v>
          </cell>
          <cell r="L103" t="str">
            <v>-</v>
          </cell>
          <cell r="M103" t="str">
            <v>Incidents 5Aug99\Miranda\mc-CSP UAT INCIDENTS ON AUG. 5.doc</v>
          </cell>
          <cell r="O103" t="str">
            <v>P2</v>
          </cell>
        </row>
        <row r="104">
          <cell r="A104">
            <v>103</v>
          </cell>
          <cell r="B104">
            <v>36377</v>
          </cell>
          <cell r="C104" t="str">
            <v>Miranda</v>
          </cell>
          <cell r="D104" t="str">
            <v>U</v>
          </cell>
          <cell r="E104" t="str">
            <v>CT</v>
          </cell>
          <cell r="F104" t="str">
            <v>SC</v>
          </cell>
          <cell r="G104" t="str">
            <v>Inq</v>
          </cell>
          <cell r="H104" t="str">
            <v>L</v>
          </cell>
          <cell r="I104" t="str">
            <v>L</v>
          </cell>
          <cell r="J104" t="str">
            <v>Closed</v>
          </cell>
          <cell r="K104" t="str">
            <v>In the Position Details screen for Equities, System hung at around 2:15 pm. Had to logoff and then logon again before doing anything else.</v>
          </cell>
          <cell r="L104" t="str">
            <v>-</v>
          </cell>
          <cell r="M104" t="str">
            <v>Incidents 5Aug99\Miranda\mc-CSP UAT INCIDENTS ON AUG. 5.doc</v>
          </cell>
          <cell r="N104" t="str">
            <v xml:space="preserve"> 17 Aug 99: Verified by Miranda in v1.2.</v>
          </cell>
          <cell r="O104" t="str">
            <v>P1</v>
          </cell>
          <cell r="P104">
            <v>1.1000000000000001</v>
          </cell>
        </row>
        <row r="105">
          <cell r="A105">
            <v>104</v>
          </cell>
          <cell r="B105">
            <v>36377</v>
          </cell>
          <cell r="C105" t="str">
            <v>Miranda</v>
          </cell>
          <cell r="D105" t="str">
            <v>U</v>
          </cell>
          <cell r="E105" t="str">
            <v>NR</v>
          </cell>
          <cell r="F105" t="str">
            <v>PA</v>
          </cell>
          <cell r="G105" t="str">
            <v>Inq</v>
          </cell>
          <cell r="H105" t="str">
            <v>L</v>
          </cell>
          <cell r="I105" t="str">
            <v>M</v>
          </cell>
          <cell r="J105" t="str">
            <v>Auth</v>
          </cell>
          <cell r="K105" t="str">
            <v>In the Position Details screen for Corporate Bonds, there should be “custodian &amp; status” display for corporate bonds and corporate convertible bonds as per the requirements for equities.</v>
          </cell>
          <cell r="L105" t="str">
            <v>-</v>
          </cell>
          <cell r="M105" t="str">
            <v>Incidents 5Aug99\Miranda\mc-CSP UAT INCIDENTS ON AUG. 5.doc</v>
          </cell>
          <cell r="O105" t="str">
            <v>P2</v>
          </cell>
        </row>
        <row r="106">
          <cell r="A106">
            <v>105</v>
          </cell>
          <cell r="B106">
            <v>36377</v>
          </cell>
          <cell r="C106" t="str">
            <v>Miranda</v>
          </cell>
          <cell r="D106" t="str">
            <v>U</v>
          </cell>
          <cell r="E106" t="str">
            <v>DR</v>
          </cell>
          <cell r="F106" t="str">
            <v>AW</v>
          </cell>
          <cell r="G106" t="str">
            <v>Inq</v>
          </cell>
          <cell r="H106" t="str">
            <v>M</v>
          </cell>
          <cell r="I106" t="str">
            <v>H</v>
          </cell>
          <cell r="J106" t="str">
            <v>Closed</v>
          </cell>
          <cell r="K106" t="str">
            <v>In the Position Details screen for Real Estate (Pledged), the loanable value in nom. Ccy and ref. Ccy is incorrect. In my particular case, it should be 382,500 instead of 382.50.</v>
          </cell>
          <cell r="L106" t="str">
            <v>-</v>
          </cell>
          <cell r="M106" t="str">
            <v>Incidents 5Aug99\Miranda\mc-CSP UAT INCIDENTS ON AUG. 5.doc</v>
          </cell>
          <cell r="N106" t="str">
            <v>16 Aug 99:Fixed in 7 Jul feed [Aegidia]. 18 Aug 99: Verified fix in v1.2 [Miranda].</v>
          </cell>
          <cell r="O106" t="str">
            <v>P1</v>
          </cell>
          <cell r="P106">
            <v>1.2</v>
          </cell>
        </row>
        <row r="107">
          <cell r="A107">
            <v>106</v>
          </cell>
          <cell r="B107">
            <v>36377</v>
          </cell>
          <cell r="C107" t="str">
            <v>Miranda</v>
          </cell>
          <cell r="D107" t="str">
            <v>U</v>
          </cell>
          <cell r="E107" t="str">
            <v>CT</v>
          </cell>
          <cell r="F107" t="str">
            <v>SC</v>
          </cell>
          <cell r="G107" t="str">
            <v>Inq</v>
          </cell>
          <cell r="H107" t="str">
            <v>M</v>
          </cell>
          <cell r="I107" t="str">
            <v>H</v>
          </cell>
          <cell r="J107" t="str">
            <v>Dup</v>
          </cell>
          <cell r="K107" t="str">
            <v>[See 113, 114] In the Position Details screen for Margin Loans, the rate for both margin loans and real estate loans must be at least with 4 decimal points. Further, there is no “Accrued Interest as of Date” display (column) for the margin loans.</v>
          </cell>
          <cell r="L107" t="str">
            <v>-</v>
          </cell>
          <cell r="M107" t="str">
            <v>Incidents 5Aug99\Miranda\mc-CSP UAT INCIDENTS ON AUG. 5.doc</v>
          </cell>
          <cell r="N107" t="str">
            <v>6 Aug 99: Split into two, see 113, 114. 07 Sept 99: Verified fix in v1.5+ [Miranda].</v>
          </cell>
          <cell r="O107" t="str">
            <v>P1</v>
          </cell>
          <cell r="P107">
            <v>1.1000000000000001</v>
          </cell>
        </row>
        <row r="108">
          <cell r="A108">
            <v>107</v>
          </cell>
          <cell r="B108">
            <v>36377</v>
          </cell>
          <cell r="C108" t="str">
            <v>Miranda</v>
          </cell>
          <cell r="D108" t="str">
            <v>U</v>
          </cell>
          <cell r="E108" t="str">
            <v>CT</v>
          </cell>
          <cell r="F108" t="str">
            <v>SC</v>
          </cell>
          <cell r="G108" t="str">
            <v>Inq</v>
          </cell>
          <cell r="H108" t="str">
            <v>L</v>
          </cell>
          <cell r="I108" t="str">
            <v>L</v>
          </cell>
          <cell r="J108" t="str">
            <v>Dup</v>
          </cell>
          <cell r="K108" t="str">
            <v>[See 17] The font changed on the EG Overview screen (under Location Details) on clicking “Back” link from Position Details screen (for Margin Loans and Real Estate Loans – Residential).</v>
          </cell>
          <cell r="L108" t="str">
            <v>-</v>
          </cell>
          <cell r="M108" t="str">
            <v>Incidents 5Aug99\Miranda\mc-CSP UAT INCIDENTS ON AUG. 5.doc</v>
          </cell>
          <cell r="N108" t="str">
            <v>6 Aug 99: Duplicate of 17. 3 Sep 99: Failed verification in v1.4+. It's happening only under "Foo, W L James" relationship [Miranda]. 6 Sep 99: It happened again in other portfolios. E.g. Huang Chiu H [Miranda].</v>
          </cell>
          <cell r="O108" t="str">
            <v>P1</v>
          </cell>
          <cell r="P108">
            <v>1.2</v>
          </cell>
        </row>
        <row r="109">
          <cell r="A109">
            <v>108</v>
          </cell>
          <cell r="B109">
            <v>36377</v>
          </cell>
          <cell r="C109" t="str">
            <v>Miranda</v>
          </cell>
          <cell r="D109" t="str">
            <v>U</v>
          </cell>
          <cell r="E109" t="str">
            <v>CT</v>
          </cell>
          <cell r="F109" t="str">
            <v>SC</v>
          </cell>
          <cell r="G109" t="str">
            <v>EG</v>
          </cell>
          <cell r="H109" t="str">
            <v>L</v>
          </cell>
          <cell r="I109" t="str">
            <v>M</v>
          </cell>
          <cell r="J109" t="str">
            <v>Dup</v>
          </cell>
          <cell r="K109" t="str">
            <v>[See 9] There is no way to edit/amend the text of the member role from the Member Details screen</v>
          </cell>
          <cell r="L109" t="str">
            <v>-</v>
          </cell>
          <cell r="M109" t="str">
            <v>..\SCREEN SHOTS\Incidents 26 Aug\Miranda\CSP UAT Incidents on Aug. 24 - MC.doc</v>
          </cell>
          <cell r="N109" t="str">
            <v>6 Aug 99: Duplicate of 9. 24 Aug 99: Miranda to re-test [Sam] 26 Aug 99: Re-test failed [Miranda]. 07 Sept 99: Verified fix in v 1.5+ [Miranda].</v>
          </cell>
          <cell r="O109" t="str">
            <v>P1</v>
          </cell>
          <cell r="P109">
            <v>1.2</v>
          </cell>
        </row>
        <row r="110">
          <cell r="A110">
            <v>109</v>
          </cell>
          <cell r="B110">
            <v>36377</v>
          </cell>
          <cell r="C110" t="str">
            <v>Miranda</v>
          </cell>
          <cell r="D110" t="str">
            <v>U</v>
          </cell>
          <cell r="E110" t="str">
            <v>NR</v>
          </cell>
          <cell r="F110" t="str">
            <v>PA</v>
          </cell>
          <cell r="G110" t="str">
            <v>Inq</v>
          </cell>
          <cell r="H110" t="str">
            <v>L</v>
          </cell>
          <cell r="I110" t="str">
            <v>M</v>
          </cell>
          <cell r="J110" t="str">
            <v>Auth</v>
          </cell>
          <cell r="K110" t="str">
            <v>It would be useful to display the Exchange rate of the evaluation on the Position Details screen for Bonds.</v>
          </cell>
          <cell r="L110" t="str">
            <v>-</v>
          </cell>
          <cell r="M110" t="str">
            <v>Incidents 5Aug99\Miranda\mc-CSP UAT INCIDENTS ON AUG. 5.doc</v>
          </cell>
          <cell r="O110" t="str">
            <v>P2</v>
          </cell>
        </row>
        <row r="111">
          <cell r="A111">
            <v>110</v>
          </cell>
          <cell r="B111">
            <v>36377</v>
          </cell>
          <cell r="C111" t="str">
            <v>Miranda</v>
          </cell>
          <cell r="D111" t="str">
            <v>U</v>
          </cell>
          <cell r="E111" t="str">
            <v>NR</v>
          </cell>
          <cell r="F111" t="str">
            <v>PA</v>
          </cell>
          <cell r="G111" t="str">
            <v>Inq</v>
          </cell>
          <cell r="H111" t="str">
            <v>L</v>
          </cell>
          <cell r="I111" t="str">
            <v>L</v>
          </cell>
          <cell r="J111" t="str">
            <v>Closed</v>
          </cell>
          <cell r="K111" t="str">
            <v>In the Position Details screen for Bonds, the columns are not aligned between the “Corporate Bonds” and “Corporate Convertible Bonds” sections.</v>
          </cell>
          <cell r="L111" t="str">
            <v>-</v>
          </cell>
          <cell r="M111" t="str">
            <v>..\SCREEN SHOTS\Incidents 26 Aug\Miranda\CSP UAT Incidents on Aug. 24 - MC.doc</v>
          </cell>
          <cell r="N111" t="str">
            <v>11 Aug 99: Changed from DI to NR. 12Aug99: To have proper alignment in displaying columns is regarded as a New Request?! [Helen]. 24 Aug 99: Changed to CT and priority M [Sam]. Changed from CT to NR and M to L as the change is cosmetic [Sandeep]. 26 Aug 9</v>
          </cell>
          <cell r="O111" t="str">
            <v>P1</v>
          </cell>
          <cell r="P111" t="str">
            <v>P2</v>
          </cell>
        </row>
        <row r="112">
          <cell r="A112">
            <v>111</v>
          </cell>
          <cell r="B112">
            <v>36377</v>
          </cell>
          <cell r="C112" t="str">
            <v>Miranda</v>
          </cell>
          <cell r="D112" t="str">
            <v>U</v>
          </cell>
          <cell r="E112" t="str">
            <v>DR</v>
          </cell>
          <cell r="F112" t="str">
            <v>AW</v>
          </cell>
          <cell r="G112" t="str">
            <v>Inq</v>
          </cell>
          <cell r="H112" t="str">
            <v>S</v>
          </cell>
          <cell r="I112" t="str">
            <v>H</v>
          </cell>
          <cell r="J112" t="str">
            <v>Closed</v>
          </cell>
          <cell r="K112" t="str">
            <v>In the Portfolio Details screen, The market value of the “Fixed Income” is not correct; zeros are displayed.</v>
          </cell>
          <cell r="L112" t="str">
            <v>-</v>
          </cell>
          <cell r="M112" t="str">
            <v>Incidents 5Aug99\Miranda\mc-CSP UAT INCIDENTS ON AUG. 5.doc</v>
          </cell>
          <cell r="N112" t="str">
            <v>16 Aug 99:Fixed in 7 Jul feed [Aegidia]. 18 Aug 99: Verified fix in v1.2 [Miranda].</v>
          </cell>
          <cell r="O112" t="str">
            <v>P1</v>
          </cell>
          <cell r="P112">
            <v>1.2</v>
          </cell>
        </row>
        <row r="113">
          <cell r="A113">
            <v>112</v>
          </cell>
          <cell r="B113">
            <v>36377</v>
          </cell>
          <cell r="C113" t="str">
            <v>Miranda</v>
          </cell>
          <cell r="D113" t="str">
            <v>U</v>
          </cell>
          <cell r="E113" t="str">
            <v>DR</v>
          </cell>
          <cell r="F113" t="str">
            <v>AW</v>
          </cell>
          <cell r="G113" t="str">
            <v>Inq</v>
          </cell>
          <cell r="H113" t="str">
            <v>M</v>
          </cell>
          <cell r="I113" t="str">
            <v>H</v>
          </cell>
          <cell r="J113" t="str">
            <v>Re-Raised</v>
          </cell>
          <cell r="K113" t="str">
            <v>In the Portfolio Details screen, the figures of surplus/shortfall are required to be displayed at this level.</v>
          </cell>
          <cell r="L113" t="str">
            <v>-</v>
          </cell>
          <cell r="M113" t="str">
            <v>\\FS666F04\USER1\JROITMAN\INTERIM_JACOB\SCREEN SHOTS\30 Sept 99\Miranda\CSP Collateral Surplus  Shortfall Status.doc</v>
          </cell>
          <cell r="N113" t="str">
            <v>11 Aug 99: Changed from DI to NR. 12 Aug 99: The request of showing shortfall/surplus amount and status as of last business day are documented in the business requirement. It should not be regarded as a new request [Helen]. 24 Aug 99: Changed to DR and pr</v>
          </cell>
          <cell r="O113" t="str">
            <v>P1</v>
          </cell>
        </row>
        <row r="114">
          <cell r="A114">
            <v>113</v>
          </cell>
          <cell r="B114">
            <v>36377</v>
          </cell>
          <cell r="C114" t="str">
            <v>Miranda</v>
          </cell>
          <cell r="D114" t="str">
            <v>U</v>
          </cell>
          <cell r="E114" t="str">
            <v>CT</v>
          </cell>
          <cell r="F114" t="str">
            <v>SC</v>
          </cell>
          <cell r="G114" t="str">
            <v>Inq</v>
          </cell>
          <cell r="H114" t="str">
            <v>M</v>
          </cell>
          <cell r="I114" t="str">
            <v>H</v>
          </cell>
          <cell r="J114" t="str">
            <v>Closed</v>
          </cell>
          <cell r="K114" t="str">
            <v>[See 106] In the Position Details screen for Margin Loans, the rate for both margin loans and real estate loans must be at least with 4 decimal points.</v>
          </cell>
          <cell r="L114" t="str">
            <v>-</v>
          </cell>
          <cell r="M114" t="str">
            <v>Incidents 5Aug99\Miranda\mc-CSP UAT INCIDENTS ON AUG. 5.doc</v>
          </cell>
          <cell r="N114" t="str">
            <v>11 Aug 99: Miranda verified fix.</v>
          </cell>
          <cell r="O114" t="str">
            <v>P1</v>
          </cell>
          <cell r="P114">
            <v>1.1000000000000001</v>
          </cell>
        </row>
        <row r="115">
          <cell r="A115">
            <v>114</v>
          </cell>
          <cell r="B115">
            <v>36377</v>
          </cell>
          <cell r="C115" t="str">
            <v>Miranda</v>
          </cell>
          <cell r="D115" t="str">
            <v>U</v>
          </cell>
          <cell r="E115" t="str">
            <v>DR</v>
          </cell>
          <cell r="F115" t="str">
            <v>AW</v>
          </cell>
          <cell r="G115" t="str">
            <v>Inq</v>
          </cell>
          <cell r="H115" t="str">
            <v>M</v>
          </cell>
          <cell r="I115" t="str">
            <v>H</v>
          </cell>
          <cell r="J115" t="str">
            <v>Closed</v>
          </cell>
          <cell r="K115" t="str">
            <v>[See 106] In the Position Details screen for Margin Loans, there is no “Accrued Interest as of Date” display (column) for the margin loans.</v>
          </cell>
          <cell r="L115" t="str">
            <v>-</v>
          </cell>
          <cell r="M115" t="str">
            <v>Incidents 5Aug99\Miranda\mc-CSP UAT INCIDENTS ON AUG. 5.doc</v>
          </cell>
          <cell r="N115" t="str">
            <v>9 Aug 99: Changed from CT to DR. 10 Aug 99: Miranda failed verification. 16 Aug 99:Fixed in 7 Jul feed [Aegidia]. 17 Aug 99: Verified by Miranda in v1.2.</v>
          </cell>
          <cell r="O115" t="str">
            <v>P1</v>
          </cell>
          <cell r="P115">
            <v>1.2</v>
          </cell>
        </row>
        <row r="116">
          <cell r="A116">
            <v>115</v>
          </cell>
          <cell r="B116">
            <v>36378</v>
          </cell>
          <cell r="C116" t="str">
            <v>Andrew</v>
          </cell>
          <cell r="D116" t="str">
            <v>U</v>
          </cell>
          <cell r="E116" t="str">
            <v>CT</v>
          </cell>
          <cell r="F116" t="str">
            <v>SC</v>
          </cell>
          <cell r="G116" t="str">
            <v>Inq</v>
          </cell>
          <cell r="H116" t="str">
            <v>M</v>
          </cell>
          <cell r="I116" t="str">
            <v>H</v>
          </cell>
          <cell r="J116" t="str">
            <v>Closed</v>
          </cell>
          <cell r="K116" t="str">
            <v>Encountered the following message on launching log on for GMM ID (9999997573, profile of Steve Lawrence).</v>
          </cell>
          <cell r="L116" t="str">
            <v>-</v>
          </cell>
          <cell r="M116" t="str">
            <v>Incidents 6Aug99\Andrew\Aug 06.doc</v>
          </cell>
          <cell r="N116" t="str">
            <v>10 Aug 99: Duplicate of 86. 16 Aug 99: Verified by Andrew in v1.2.</v>
          </cell>
          <cell r="O116" t="str">
            <v>P1</v>
          </cell>
          <cell r="P116">
            <v>1.1000000000000001</v>
          </cell>
        </row>
        <row r="117">
          <cell r="A117">
            <v>116</v>
          </cell>
          <cell r="B117">
            <v>36378</v>
          </cell>
          <cell r="C117" t="str">
            <v>Andrew</v>
          </cell>
          <cell r="D117" t="str">
            <v>U</v>
          </cell>
          <cell r="E117" t="str">
            <v>CT</v>
          </cell>
          <cell r="F117" t="str">
            <v>SC</v>
          </cell>
          <cell r="G117" t="str">
            <v>Cor</v>
          </cell>
          <cell r="H117" t="str">
            <v>M</v>
          </cell>
          <cell r="I117" t="str">
            <v>H</v>
          </cell>
          <cell r="J117" t="str">
            <v>Closed</v>
          </cell>
          <cell r="K117" t="str">
            <v>Unable to logon to Oasis through CSP Home screen corridor. However, through EXTRA session is fine. Please rectify.</v>
          </cell>
          <cell r="L117" t="str">
            <v>-</v>
          </cell>
          <cell r="M117" t="str">
            <v>Incidents 6Aug99\Andrew\Aug 06.doc</v>
          </cell>
          <cell r="N117" t="str">
            <v>16 Aug 99: Verified by Andrew in v1.2.</v>
          </cell>
          <cell r="O117" t="str">
            <v>P1</v>
          </cell>
          <cell r="P117">
            <v>1.2</v>
          </cell>
        </row>
        <row r="118">
          <cell r="A118">
            <v>117</v>
          </cell>
          <cell r="B118">
            <v>36378</v>
          </cell>
          <cell r="C118" t="str">
            <v>Andrew</v>
          </cell>
          <cell r="D118" t="str">
            <v>U</v>
          </cell>
          <cell r="E118" t="str">
            <v>CT</v>
          </cell>
          <cell r="F118" t="str">
            <v>SC</v>
          </cell>
          <cell r="G118" t="str">
            <v>EG</v>
          </cell>
          <cell r="H118" t="str">
            <v>M</v>
          </cell>
          <cell r="I118" t="str">
            <v>H</v>
          </cell>
          <cell r="J118" t="str">
            <v>Closed</v>
          </cell>
          <cell r="K118" t="str">
            <v xml:space="preserve">[See 134] Tried to approve the following operation “close link”. After clicking “Approve” button, there is a 2-liner message at the top of a blank screen (was so fast I could not capture the message). Then, system brings me back to the “EG Setup” screen, </v>
          </cell>
          <cell r="L118" t="str">
            <v>-</v>
          </cell>
          <cell r="M118" t="str">
            <v>Incidents 6Aug99\Andrew\Aug 06.doc</v>
          </cell>
          <cell r="N118" t="str">
            <v>23 Aug 99: Fixed in v1.3 [Sandeep]. Verified fix in v1.3 [Andrew].</v>
          </cell>
          <cell r="O118" t="str">
            <v>P1</v>
          </cell>
          <cell r="P118">
            <v>1.3</v>
          </cell>
        </row>
        <row r="119">
          <cell r="A119">
            <v>118</v>
          </cell>
          <cell r="B119">
            <v>36378</v>
          </cell>
          <cell r="C119" t="str">
            <v>Miranda</v>
          </cell>
          <cell r="D119" t="str">
            <v>U</v>
          </cell>
          <cell r="E119" t="str">
            <v>CT</v>
          </cell>
          <cell r="F119" t="str">
            <v>SC</v>
          </cell>
          <cell r="G119" t="str">
            <v>Inq</v>
          </cell>
          <cell r="H119" t="str">
            <v>L</v>
          </cell>
          <cell r="I119" t="str">
            <v>M</v>
          </cell>
          <cell r="J119" t="str">
            <v>Closed</v>
          </cell>
          <cell r="K119" t="str">
            <v>In the “Spot and Forward” screen, at least 5 digits (not 2) of FX rates should be displayed.</v>
          </cell>
          <cell r="L119" t="str">
            <v>-</v>
          </cell>
          <cell r="M119" t="str">
            <v>..\SCREEN SHOTS\Incidents 26 Aug\Miranda\CSP UAT Incidents on Aug. 24 - MC.doc</v>
          </cell>
          <cell r="N119" t="str">
            <v>11 Aug 99: Everyone is to focus on finding all rates related issues. 24 Aug 99: Miranda to re-test [Sam] 26 Aug 99: Verified by Miranda</v>
          </cell>
          <cell r="O119" t="str">
            <v>P1</v>
          </cell>
          <cell r="P119">
            <v>1.2</v>
          </cell>
        </row>
        <row r="120">
          <cell r="A120">
            <v>119</v>
          </cell>
          <cell r="B120">
            <v>36378</v>
          </cell>
          <cell r="C120" t="str">
            <v>Miranda</v>
          </cell>
          <cell r="D120" t="str">
            <v>U</v>
          </cell>
          <cell r="E120" t="str">
            <v>DR</v>
          </cell>
          <cell r="F120" t="str">
            <v>AW</v>
          </cell>
          <cell r="G120" t="str">
            <v>Inq</v>
          </cell>
          <cell r="H120" t="str">
            <v>S</v>
          </cell>
          <cell r="I120" t="str">
            <v>H</v>
          </cell>
          <cell r="J120" t="str">
            <v>Closed</v>
          </cell>
          <cell r="K120" t="str">
            <v>In the “Spot and Forward” screen, the “Current Rate” field displays wrong rates for Reference number 1982310055 and 1982390212. This is SGD to USD which is shown as 1.00!</v>
          </cell>
          <cell r="L120" t="str">
            <v>-</v>
          </cell>
          <cell r="M120" t="str">
            <v>Incidents 6Aug99\Miranda\CSP UAT INCIDENTS ON AUG. 6.doc</v>
          </cell>
          <cell r="N120" t="str">
            <v>16 Aug 99:Fixed in 7 Jul feed [Aegidia]. 18 Aug 99: Verified fix in v1.2 [Miranda].</v>
          </cell>
          <cell r="O120" t="str">
            <v>P1</v>
          </cell>
          <cell r="P120">
            <v>1.2</v>
          </cell>
        </row>
        <row r="121">
          <cell r="A121">
            <v>120</v>
          </cell>
          <cell r="B121">
            <v>36378</v>
          </cell>
          <cell r="C121" t="str">
            <v>Miranda</v>
          </cell>
          <cell r="D121" t="str">
            <v>U</v>
          </cell>
          <cell r="E121" t="str">
            <v>DR</v>
          </cell>
          <cell r="F121" t="str">
            <v>AW</v>
          </cell>
          <cell r="G121" t="str">
            <v>Inq</v>
          </cell>
          <cell r="H121" t="str">
            <v>M</v>
          </cell>
          <cell r="I121" t="str">
            <v>H</v>
          </cell>
          <cell r="J121" t="str">
            <v>Closed</v>
          </cell>
          <cell r="K121" t="str">
            <v>In the “Spot and Forward” screen, the values of “Mark-to-market” for the last two contracts (reference # 1991670041 and 1991670046) are apparently incorrect.</v>
          </cell>
          <cell r="L121" t="str">
            <v>-</v>
          </cell>
          <cell r="M121" t="str">
            <v>..\SCREEN SHOTS\Incidents 26 Aug\Miranda\CSP UAT Incidents on Aug. 24 - MC.doc</v>
          </cell>
          <cell r="N121" t="str">
            <v>16 Aug 99:Fixed in 7 Jul feed [Aegidia]. 19 Aug 99: Failed verification in v1.2 [Miranda]. 21 Aug 99: Fixed in 8 Aug feed; ready for retest in Cycle 3 [Aegidia] 24 Aug 99: Miranda to re-test [Sam] 26 Aug 99: Verified by Miranda</v>
          </cell>
          <cell r="O121" t="str">
            <v>P1</v>
          </cell>
          <cell r="P121">
            <v>1.2</v>
          </cell>
        </row>
        <row r="122">
          <cell r="A122">
            <v>121</v>
          </cell>
          <cell r="B122">
            <v>36378</v>
          </cell>
          <cell r="C122" t="str">
            <v>Miranda</v>
          </cell>
          <cell r="D122" t="str">
            <v>U</v>
          </cell>
          <cell r="E122" t="str">
            <v>DR</v>
          </cell>
          <cell r="F122" t="str">
            <v>AW</v>
          </cell>
          <cell r="G122" t="str">
            <v>Inq</v>
          </cell>
          <cell r="H122" t="str">
            <v>X</v>
          </cell>
          <cell r="I122" t="str">
            <v>X</v>
          </cell>
          <cell r="J122" t="str">
            <v>Closed</v>
          </cell>
          <cell r="K122" t="str">
            <v xml:space="preserve">[See 188, 189, 190] In the “Spot and Forward” screen, the Buy/Sell amount is from the bank’s perspective. It is more appropriate for CSP to display these from the Client’s perspective. That is, the existing display is “bank buy/bank sell” but not “client </v>
          </cell>
          <cell r="L122" t="str">
            <v>-</v>
          </cell>
          <cell r="M122" t="str">
            <v>Incidents 6Aug99\Miranda\CSP UAT INCIDENTS ON AUG. 6.doc</v>
          </cell>
          <cell r="N122" t="str">
            <v>11 Aug 99: Changed from DI to NR. 12 Aug 99: We have been asking for FX transactions from clients' perspective. We may need to verify the FX feeds instead [Helen]. 24 Aug 99: Changed to CT; THIS IS A SHOW STOPPER. Can't be "X" as the system is currently r</v>
          </cell>
          <cell r="O122" t="str">
            <v>P1</v>
          </cell>
        </row>
        <row r="123">
          <cell r="A123">
            <v>122</v>
          </cell>
          <cell r="B123">
            <v>36378</v>
          </cell>
          <cell r="C123" t="str">
            <v>Miranda</v>
          </cell>
          <cell r="D123" t="str">
            <v>U</v>
          </cell>
          <cell r="E123" t="str">
            <v>NR</v>
          </cell>
          <cell r="F123" t="str">
            <v>PA</v>
          </cell>
          <cell r="G123" t="str">
            <v>Inq</v>
          </cell>
          <cell r="H123" t="str">
            <v>L</v>
          </cell>
          <cell r="I123" t="str">
            <v>H</v>
          </cell>
          <cell r="J123" t="str">
            <v>Closed</v>
          </cell>
          <cell r="K123" t="str">
            <v>In the “Real Estate Loans – Residential” screen, the interest “Rate” of loan/deposit should be displayed up to 5 decimal points. This request supercedes the previous request for 4 decimal points.</v>
          </cell>
          <cell r="L123" t="str">
            <v>-</v>
          </cell>
          <cell r="M123" t="str">
            <v>Incidents 6Aug99\Miranda\CSP UAT INCIDENTS ON AUG. 6.doc</v>
          </cell>
          <cell r="N123" t="str">
            <v>Sandeep and Bharat, 10 Aug 99: This is a change to incident 106 which has been fixed and delivered in 1.1. 4 Sep 99: Verified fix in 1.5 [Miranda].</v>
          </cell>
          <cell r="O123" t="str">
            <v>P1</v>
          </cell>
          <cell r="P123">
            <v>1.5</v>
          </cell>
        </row>
        <row r="124">
          <cell r="A124">
            <v>123</v>
          </cell>
          <cell r="B124">
            <v>36378</v>
          </cell>
          <cell r="C124" t="str">
            <v>Miranda</v>
          </cell>
          <cell r="D124" t="str">
            <v>U</v>
          </cell>
          <cell r="E124" t="str">
            <v>DR</v>
          </cell>
          <cell r="F124" t="str">
            <v>AW</v>
          </cell>
          <cell r="G124" t="str">
            <v>Inq</v>
          </cell>
          <cell r="H124" t="str">
            <v>M</v>
          </cell>
          <cell r="I124" t="str">
            <v>H</v>
          </cell>
          <cell r="J124" t="str">
            <v>Closed</v>
          </cell>
          <cell r="K124" t="str">
            <v>In the “Real Estate Loans – Residential” screen, the “Accrued interest” field is incorrect; it is displayed as 0.00.</v>
          </cell>
          <cell r="L124" t="str">
            <v>-</v>
          </cell>
          <cell r="M124" t="str">
            <v>Incidents 6Aug99\Miranda\CSP UAT INCIDENTS ON AUG. 6.doc</v>
          </cell>
          <cell r="N124" t="str">
            <v>16 Aug 99: There is no "Accrued Interest" column defined for this asset type. Miranda, please elaborate [Aegidia]. 21 Aug 99: Fixed in 8 Aug feed; ready for retest in Cycle 3 [Aegidia] 24 Aug 99: Miranda to re-test [Sam] 26 Aug 99: Re-raised by Miranda 30</v>
          </cell>
          <cell r="O124" t="str">
            <v>P1</v>
          </cell>
          <cell r="P124">
            <v>1.5</v>
          </cell>
        </row>
        <row r="125">
          <cell r="A125">
            <v>124</v>
          </cell>
          <cell r="B125">
            <v>36379</v>
          </cell>
          <cell r="C125" t="str">
            <v>Andrew</v>
          </cell>
          <cell r="D125" t="str">
            <v>U</v>
          </cell>
          <cell r="E125" t="str">
            <v>UT</v>
          </cell>
          <cell r="F125" t="str">
            <v>PA</v>
          </cell>
          <cell r="G125" t="str">
            <v>Inq</v>
          </cell>
          <cell r="H125" t="str">
            <v>M</v>
          </cell>
          <cell r="I125" t="str">
            <v>H</v>
          </cell>
          <cell r="J125" t="str">
            <v>Closed</v>
          </cell>
          <cell r="K125" t="str">
            <v>In the “Add Link – View Detail” screen under the “Portfolio” section, “ZZ” or “XC” prefixes the names under the “Title” column.</v>
          </cell>
          <cell r="L125" t="str">
            <v>-</v>
          </cell>
          <cell r="M125" t="str">
            <v>Incidents 7Aug99\Andrew\Aug 07.doc</v>
          </cell>
          <cell r="N125" t="str">
            <v>16 Aug 99: Changed from DR to UT as this is the way names are set up in EMEA [Aegidia]. Andrew to verify. 16 Aug 99: Verified by Andrew in v1.2.</v>
          </cell>
          <cell r="O125" t="str">
            <v>P1</v>
          </cell>
          <cell r="P125">
            <v>1.2</v>
          </cell>
        </row>
        <row r="126">
          <cell r="A126">
            <v>125</v>
          </cell>
          <cell r="B126">
            <v>36379</v>
          </cell>
          <cell r="C126" t="str">
            <v>Andrew</v>
          </cell>
          <cell r="D126" t="str">
            <v>U</v>
          </cell>
          <cell r="E126" t="str">
            <v>NR</v>
          </cell>
          <cell r="F126" t="str">
            <v>PA</v>
          </cell>
          <cell r="G126" t="str">
            <v>EG</v>
          </cell>
          <cell r="H126" t="str">
            <v>L</v>
          </cell>
          <cell r="I126" t="str">
            <v>L</v>
          </cell>
          <cell r="J126" t="str">
            <v>Closed</v>
          </cell>
          <cell r="K126" t="str">
            <v>From “LEG Overview” screen, after clicking “Add Link” hyperlink, user goes to the “Add Link” screen, it would be nice if the focus can be set on the “Enter Link Number” field, instead of having to click in the field.</v>
          </cell>
          <cell r="L126" t="str">
            <v>-</v>
          </cell>
          <cell r="M126" t="str">
            <v>Incidents 7Aug99\Andrew\Aug 07.doc</v>
          </cell>
          <cell r="N126" t="str">
            <v>16 Aug 99: Verified by Andrew in v1.2.</v>
          </cell>
          <cell r="O126" t="str">
            <v>P1</v>
          </cell>
          <cell r="P126">
            <v>1.2</v>
          </cell>
        </row>
        <row r="127">
          <cell r="A127">
            <v>126</v>
          </cell>
          <cell r="B127">
            <v>36379</v>
          </cell>
          <cell r="C127" t="str">
            <v>Andrew</v>
          </cell>
          <cell r="D127" t="str">
            <v>U</v>
          </cell>
          <cell r="E127" t="str">
            <v>NR</v>
          </cell>
          <cell r="F127" t="str">
            <v>PA</v>
          </cell>
          <cell r="G127" t="str">
            <v>EG</v>
          </cell>
          <cell r="H127" t="str">
            <v>L</v>
          </cell>
          <cell r="I127" t="str">
            <v>L</v>
          </cell>
          <cell r="J127" t="str">
            <v>Closed</v>
          </cell>
          <cell r="K127" t="str">
            <v>In the “Relationship Overview” screen, the “GEG Title” column should be sorted in alphabetical order. This helps the user to have an easier eyeball search.</v>
          </cell>
          <cell r="L127" t="str">
            <v>-</v>
          </cell>
          <cell r="M127" t="str">
            <v>Incidents 7Aug99\Andrew\Aug 07.doc</v>
          </cell>
          <cell r="N127" t="str">
            <v>16 Aug 99: Failed verification in v1.2 by Andrew. 23 Aug 99: Fixed in v1.3 [Sandeep]. Verified fix in v1.3 [Andrew].</v>
          </cell>
          <cell r="O127" t="str">
            <v>P1</v>
          </cell>
          <cell r="P127">
            <v>1.3</v>
          </cell>
        </row>
        <row r="128">
          <cell r="A128">
            <v>127</v>
          </cell>
          <cell r="B128">
            <v>36379</v>
          </cell>
          <cell r="C128" t="str">
            <v>Andrew</v>
          </cell>
          <cell r="D128" t="str">
            <v>U</v>
          </cell>
          <cell r="E128" t="str">
            <v>CT</v>
          </cell>
          <cell r="F128" t="str">
            <v>SC</v>
          </cell>
          <cell r="G128" t="str">
            <v>EG</v>
          </cell>
          <cell r="H128" t="str">
            <v>M</v>
          </cell>
          <cell r="I128" t="str">
            <v>H</v>
          </cell>
          <cell r="J128" t="str">
            <v>Closed</v>
          </cell>
          <cell r="K128" t="str">
            <v xml:space="preserve">There were 2 LEGs setup under GEG “Cherry Wood”. The EG setup was rejected because there is only 1 LEG, not 2. Upon clicking “Create/Update” to create the only LEG, error message appears: “An Error Has Occurred. Support key EG00010286511999080715:14:12”. </v>
          </cell>
          <cell r="L128" t="str">
            <v>-</v>
          </cell>
          <cell r="M128" t="str">
            <v>Incidents 7Aug99\Andrew\Aug 07.doc</v>
          </cell>
          <cell r="N128" t="str">
            <v>16 Aug 99: Verified by Andrew in v1.2.</v>
          </cell>
          <cell r="O128" t="str">
            <v>P1</v>
          </cell>
          <cell r="P128">
            <v>1.2</v>
          </cell>
        </row>
        <row r="129">
          <cell r="A129">
            <v>128</v>
          </cell>
          <cell r="B129">
            <v>36379</v>
          </cell>
          <cell r="C129" t="str">
            <v>Andrew</v>
          </cell>
          <cell r="D129" t="str">
            <v>U</v>
          </cell>
          <cell r="E129" t="str">
            <v>CT</v>
          </cell>
          <cell r="F129" t="str">
            <v>SC</v>
          </cell>
          <cell r="G129" t="str">
            <v>EG</v>
          </cell>
          <cell r="H129" t="str">
            <v>M</v>
          </cell>
          <cell r="I129" t="str">
            <v>H</v>
          </cell>
          <cell r="J129" t="str">
            <v>Closed</v>
          </cell>
          <cell r="K129" t="str">
            <v>Account number “306729” is not available for linking.</v>
          </cell>
          <cell r="L129" t="str">
            <v>-</v>
          </cell>
          <cell r="M129" t="str">
            <v>Incidents 7Aug99\Andrew\Aug 07.doc</v>
          </cell>
          <cell r="N129" t="str">
            <v>16 Aug 99: Base 306729 found in feed. Manish to investigate [Aegidia]. Andrew to verify. 19 Aug 99: This base is from London and we found that there was only one a/c under this base (Cash). That account is linked to a dummy portfolio. Because of missing l</v>
          </cell>
          <cell r="O129" t="str">
            <v>P1</v>
          </cell>
          <cell r="P129">
            <v>1.3</v>
          </cell>
        </row>
        <row r="130">
          <cell r="A130">
            <v>129</v>
          </cell>
          <cell r="B130">
            <v>36379</v>
          </cell>
          <cell r="C130" t="str">
            <v>Andrew</v>
          </cell>
          <cell r="D130" t="str">
            <v>U</v>
          </cell>
          <cell r="E130" t="str">
            <v>CT</v>
          </cell>
          <cell r="F130" t="str">
            <v>SC</v>
          </cell>
          <cell r="G130" t="str">
            <v>SCL</v>
          </cell>
          <cell r="H130" t="str">
            <v>L</v>
          </cell>
          <cell r="I130" t="str">
            <v>M</v>
          </cell>
          <cell r="J130" t="str">
            <v>Closed</v>
          </cell>
          <cell r="K130" t="str">
            <v>When I clicked on “Close Checked Notes" button, the message below appears: “No notes are marked for deletion”. This is confusing. Deletion and Close are different. What is the actual function of the Close button?</v>
          </cell>
          <cell r="L130" t="str">
            <v>-</v>
          </cell>
          <cell r="M130" t="str">
            <v>Incidents 7Aug99\Andrew\Aug 07.doc</v>
          </cell>
          <cell r="N130" t="str">
            <v>16 Aug 99: Verified by Andrew in v1.2.</v>
          </cell>
          <cell r="O130" t="str">
            <v>P1</v>
          </cell>
          <cell r="P130">
            <v>1.2</v>
          </cell>
        </row>
        <row r="131">
          <cell r="A131">
            <v>130</v>
          </cell>
          <cell r="B131">
            <v>36379</v>
          </cell>
          <cell r="C131" t="str">
            <v>Andrew</v>
          </cell>
          <cell r="D131" t="str">
            <v>U</v>
          </cell>
          <cell r="E131" t="str">
            <v>NR</v>
          </cell>
          <cell r="F131" t="str">
            <v>PA</v>
          </cell>
          <cell r="G131" t="str">
            <v>Inq</v>
          </cell>
          <cell r="H131" t="str">
            <v>L</v>
          </cell>
          <cell r="I131" t="str">
            <v>L</v>
          </cell>
          <cell r="J131" t="str">
            <v>Auth</v>
          </cell>
          <cell r="K131" t="str">
            <v>At the CSP Home screen, if you use the keyboard to move the focus, it first starts with the Top tool bar, from ‘FX rate’ to ‘Logout’. However, it skips the input fields (Last Name, Middle Name…) and goes to ‘My Relationships’ and ‘My Team Relationships’ a</v>
          </cell>
          <cell r="L131" t="str">
            <v>-</v>
          </cell>
          <cell r="M131" t="str">
            <v>Incidents 7Aug99\Andrew\Aug 07.doc</v>
          </cell>
          <cell r="O131" t="str">
            <v>P2</v>
          </cell>
        </row>
        <row r="132">
          <cell r="A132">
            <v>131</v>
          </cell>
          <cell r="B132">
            <v>36382</v>
          </cell>
          <cell r="C132" t="str">
            <v>Toda</v>
          </cell>
          <cell r="D132" t="str">
            <v>U</v>
          </cell>
          <cell r="E132" t="str">
            <v>NR</v>
          </cell>
          <cell r="F132" t="str">
            <v>PA</v>
          </cell>
          <cell r="G132" t="str">
            <v>Inq</v>
          </cell>
          <cell r="H132" t="str">
            <v>L</v>
          </cell>
          <cell r="I132" t="str">
            <v>M</v>
          </cell>
          <cell r="J132" t="str">
            <v>Auth</v>
          </cell>
          <cell r="K132" t="str">
            <v>In location Details screens, it would be useful to display the PF Description with the PF number, e.g., Systematics Account.</v>
          </cell>
          <cell r="L132" t="str">
            <v>-</v>
          </cell>
          <cell r="M132" t="str">
            <v>Tokyo\Takeda\Takeda 3.4.1, 3.4.2, 3.4.3.doc</v>
          </cell>
          <cell r="N132" t="str">
            <v>27 Aug 99: OK for Phase 2 [Jacob].</v>
          </cell>
          <cell r="O132" t="str">
            <v>P2</v>
          </cell>
        </row>
        <row r="133">
          <cell r="A133">
            <v>132</v>
          </cell>
          <cell r="B133">
            <v>36382</v>
          </cell>
          <cell r="C133" t="str">
            <v>Toda</v>
          </cell>
          <cell r="D133" t="str">
            <v>U</v>
          </cell>
          <cell r="E133" t="str">
            <v>UT</v>
          </cell>
          <cell r="F133" t="str">
            <v>PA</v>
          </cell>
          <cell r="G133" t="str">
            <v>Inq</v>
          </cell>
          <cell r="H133" t="str">
            <v>M</v>
          </cell>
          <cell r="I133" t="str">
            <v>H</v>
          </cell>
          <cell r="J133" t="str">
            <v>Closed</v>
          </cell>
          <cell r="K133" t="str">
            <v>PF 154974 (TBS Portfolio) has a wrong title of "AAAA…".</v>
          </cell>
          <cell r="L133" t="str">
            <v>-</v>
          </cell>
          <cell r="M133" t="str">
            <v>Tokyo\Takeda\Takeda 3.4.1, 3.4.2, 3.4.3.doc</v>
          </cell>
          <cell r="N133" t="str">
            <v>16 Aug 99: Changed from DR to UT as portfolio titles are masked in TBS [Aegidia]. 17 Aug 99: Is there anyway that we can verify, for the user, that the underlying name is in fact the correct name? In other words, how can we be certain that the masking wil</v>
          </cell>
          <cell r="O133" t="str">
            <v>P1</v>
          </cell>
          <cell r="P133">
            <v>1.3</v>
          </cell>
        </row>
        <row r="134">
          <cell r="A134">
            <v>133</v>
          </cell>
          <cell r="B134">
            <v>36382</v>
          </cell>
          <cell r="C134" t="str">
            <v>Hiraki</v>
          </cell>
          <cell r="D134" t="str">
            <v>U</v>
          </cell>
          <cell r="E134" t="str">
            <v>CT</v>
          </cell>
          <cell r="F134" t="str">
            <v>SC</v>
          </cell>
          <cell r="G134" t="str">
            <v>Inq</v>
          </cell>
          <cell r="H134" t="str">
            <v>M</v>
          </cell>
          <cell r="I134" t="str">
            <v>H</v>
          </cell>
          <cell r="J134" t="str">
            <v>Closed</v>
          </cell>
          <cell r="K134" t="str">
            <v>[See 141] Entered a Portfolio number (98255901), expecting to find DDA 10321094. However, the system failed to find this DDA. However, the DDA 10321094 can be found directly, by searching from the top of the Portfolio. 31 Aug 99: Confirmed that Link Numbe</v>
          </cell>
          <cell r="L134" t="str">
            <v>Aoki 3.5.1, 3.5.2, 3.5.3, 3.5.4, 3.5.5.doc</v>
          </cell>
          <cell r="M134" t="str">
            <v>..\SCREEN SHOTS\Incidents 30 Aug\Iida\133.doc</v>
          </cell>
          <cell r="N134" t="str">
            <v>16 Aug 99: Changed from DR to CT as CSP should skip dummy portfolios during search. Sandeep to investigate [Aegidia]. 23 Aug 99: Fixed in v1.3 [Sandeep]. 26 Aug 99: Re-raised by Hiraki. 30 Aug 99: Re-raised by Iida. 31 Aug 99: Verified by Iida in v1.4, al</v>
          </cell>
          <cell r="O134" t="str">
            <v>P1</v>
          </cell>
          <cell r="P134">
            <v>1.4</v>
          </cell>
        </row>
        <row r="135">
          <cell r="A135">
            <v>134</v>
          </cell>
          <cell r="B135">
            <v>36382</v>
          </cell>
          <cell r="C135" t="str">
            <v>Hiraki</v>
          </cell>
          <cell r="D135" t="str">
            <v>U</v>
          </cell>
          <cell r="E135" t="str">
            <v>CT</v>
          </cell>
          <cell r="F135" t="str">
            <v>SC</v>
          </cell>
          <cell r="G135" t="str">
            <v>Inq</v>
          </cell>
          <cell r="H135" t="str">
            <v>M</v>
          </cell>
          <cell r="I135" t="str">
            <v>H</v>
          </cell>
          <cell r="J135" t="str">
            <v>Dup</v>
          </cell>
          <cell r="K135" t="str">
            <v>[See 117] Enter “Portfolio Number” and select “ClientWise US” from Home screen and click Search. The Portfolio Overview screen is flashed quickly and then a blank screen appears.</v>
          </cell>
          <cell r="L135" t="str">
            <v>Aoki 3.5.1, 3.5.2, 3.5.3, 3.5.4, 3.5.5.doc</v>
          </cell>
          <cell r="M135" t="str">
            <v>Incidents 10Aug99\Hiraki\Aug.10 hiraki.doc</v>
          </cell>
          <cell r="N135" t="str">
            <v>11 Aug 99: Duplicate of 117.</v>
          </cell>
          <cell r="O135" t="str">
            <v>P1</v>
          </cell>
          <cell r="P135">
            <v>1.3</v>
          </cell>
        </row>
        <row r="136">
          <cell r="A136">
            <v>135</v>
          </cell>
          <cell r="B136">
            <v>36382</v>
          </cell>
          <cell r="C136" t="str">
            <v>Hiraki</v>
          </cell>
          <cell r="D136" t="str">
            <v>U</v>
          </cell>
          <cell r="E136" t="str">
            <v>UT</v>
          </cell>
          <cell r="F136" t="str">
            <v>PA</v>
          </cell>
          <cell r="G136" t="str">
            <v>Inq</v>
          </cell>
          <cell r="H136" t="str">
            <v>M</v>
          </cell>
          <cell r="I136" t="str">
            <v>H</v>
          </cell>
          <cell r="J136" t="str">
            <v>Closed</v>
          </cell>
          <cell r="K136" t="str">
            <v xml:space="preserve">Enter “93654006” as the account number from the Home screen and click Search. In the “Account Overview” screen, it was expected to display “Multimoney” account information for Kazutaka Aoki; however this information is not displayed. The same is true for </v>
          </cell>
          <cell r="L136" t="str">
            <v>Aoki 3.5.1, 3.5.2, 3.5.3, 3.5.4, 3.5.5.doc</v>
          </cell>
          <cell r="M136" t="str">
            <v>Incidents 10Aug99\Hiraki\Aug.10 hiraki.doc</v>
          </cell>
          <cell r="N136" t="str">
            <v xml:space="preserve">16 Aug 99: Do not understand the incident. Hiraki-san to elaborate [Aegidia]. 20 Aug 99: Each Citiplus sub-account (for example, 93654006001) is an account in CSP rather than its parent account (in this case 93654006).  Therefore account search should be </v>
          </cell>
          <cell r="O136" t="str">
            <v>P1</v>
          </cell>
          <cell r="P136">
            <v>1.3</v>
          </cell>
        </row>
        <row r="137">
          <cell r="A137">
            <v>136</v>
          </cell>
          <cell r="B137">
            <v>36382</v>
          </cell>
          <cell r="C137" t="str">
            <v>Andrew</v>
          </cell>
          <cell r="D137" t="str">
            <v>U</v>
          </cell>
          <cell r="E137" t="str">
            <v>CT</v>
          </cell>
          <cell r="F137" t="str">
            <v>SC</v>
          </cell>
          <cell r="G137" t="str">
            <v>Cor</v>
          </cell>
          <cell r="H137" t="str">
            <v>S</v>
          </cell>
          <cell r="I137" t="str">
            <v>H</v>
          </cell>
          <cell r="J137" t="str">
            <v>Closed</v>
          </cell>
          <cell r="K137" t="str">
            <v>User has SBOS Singapore profile only. However, when he corridors from CSP Home screen SBOS – Hong Kong, the user is brought into the SBOS – Singapore application. This might confuse the user thinking that he has successfully logged on to SBOS – Hong Kong.</v>
          </cell>
          <cell r="L137" t="str">
            <v>-</v>
          </cell>
          <cell r="M137" t="str">
            <v>Incidents 10Aug99\Andrew\Aug 10.doc</v>
          </cell>
          <cell r="N137" t="str">
            <v>24 Aug 99: Changed from UT to CT and high priority [Sam]. Changed from CT to UT [Sandeep]. 25 Aug 99: Andrew to elaborate; please talk to Sandeep [Sam]. 26 Aug 99: Verified by Andrew in v1.3.</v>
          </cell>
          <cell r="O137" t="str">
            <v>P1</v>
          </cell>
          <cell r="P137">
            <v>1.3</v>
          </cell>
        </row>
        <row r="138">
          <cell r="A138">
            <v>137</v>
          </cell>
          <cell r="B138">
            <v>36382</v>
          </cell>
          <cell r="C138" t="str">
            <v>Andrew</v>
          </cell>
          <cell r="D138" t="str">
            <v>U</v>
          </cell>
          <cell r="E138" t="str">
            <v>CT</v>
          </cell>
          <cell r="F138" t="str">
            <v>SC</v>
          </cell>
          <cell r="G138" t="str">
            <v>Cor</v>
          </cell>
          <cell r="H138" t="str">
            <v>L</v>
          </cell>
          <cell r="I138" t="str">
            <v>L</v>
          </cell>
          <cell r="J138" t="str">
            <v>Closed</v>
          </cell>
          <cell r="K138" t="str">
            <v>When user logs out of the FOS system (which was through corridoring), the screen becomes very small. Please see if the original size can be restored.</v>
          </cell>
          <cell r="L138" t="str">
            <v>-</v>
          </cell>
          <cell r="M138" t="str">
            <v>Incidents 10Aug99\Andrew\Aug 10.doc</v>
          </cell>
          <cell r="N138" t="str">
            <v>23 Aug 99: Fixed in v1.3 [Sandeep]. Verified fix in v1.3 [Andrew].</v>
          </cell>
          <cell r="O138" t="str">
            <v>P1</v>
          </cell>
          <cell r="P138">
            <v>1.3</v>
          </cell>
        </row>
        <row r="139">
          <cell r="A139">
            <v>138</v>
          </cell>
          <cell r="B139">
            <v>36382</v>
          </cell>
          <cell r="C139" t="str">
            <v>Andrew</v>
          </cell>
          <cell r="D139" t="str">
            <v>U</v>
          </cell>
          <cell r="E139" t="str">
            <v>UT</v>
          </cell>
          <cell r="F139" t="str">
            <v>PA</v>
          </cell>
          <cell r="G139" t="str">
            <v>Inq</v>
          </cell>
          <cell r="H139" t="str">
            <v>L</v>
          </cell>
          <cell r="I139" t="str">
            <v>M</v>
          </cell>
          <cell r="J139" t="str">
            <v>Closed</v>
          </cell>
          <cell r="K139" t="str">
            <v>Under Relationship – Search results, click on the selected relationship and the system displays the “Relationship Overview screen brought me to this screen. For about 15 seconds, the below screen shows “document: done” while the progress bar on the left i</v>
          </cell>
          <cell r="L139" t="str">
            <v>-</v>
          </cell>
          <cell r="M139" t="str">
            <v>Incidents 10Aug99\Andrew\Aug 10.doc</v>
          </cell>
          <cell r="N139" t="str">
            <v>23 Aug 99: Verified fix in v1.3 [Andrew].</v>
          </cell>
          <cell r="O139" t="str">
            <v>P1</v>
          </cell>
          <cell r="P139">
            <v>1.3</v>
          </cell>
        </row>
        <row r="140">
          <cell r="A140">
            <v>139</v>
          </cell>
          <cell r="B140">
            <v>36382</v>
          </cell>
          <cell r="C140" t="str">
            <v>Andrew</v>
          </cell>
          <cell r="D140" t="str">
            <v>U</v>
          </cell>
          <cell r="E140" t="str">
            <v>CT</v>
          </cell>
          <cell r="F140" t="str">
            <v>SC</v>
          </cell>
          <cell r="G140" t="str">
            <v>EG</v>
          </cell>
          <cell r="H140" t="str">
            <v>L</v>
          </cell>
          <cell r="I140" t="str">
            <v>M</v>
          </cell>
          <cell r="J140" t="str">
            <v>Closed</v>
          </cell>
          <cell r="K140" t="str">
            <v>The list of members displayed in “Relationship Details for” field of “Relationship Overview” screen is different from that of EG Setup (all the individual members are not available for selection).</v>
          </cell>
          <cell r="L140" t="str">
            <v>-</v>
          </cell>
          <cell r="M140" t="str">
            <v>Incidents 10Aug99\Andrew\Aug 10.doc</v>
          </cell>
          <cell r="N140" t="str">
            <v>24 Aug 99: Andrew to verify [Sam] 25 Aug 99: Re-raised by Andrew. Changed from UT to CT. Re-test screen shots are requested [Sandeep]. 27 Aug 99: Agreed EG rules are being enforced. Sam to finalize with Andrew for Monday [Sandeep, Sam]. 3 Sep 99: Verified</v>
          </cell>
          <cell r="O140" t="str">
            <v>P1</v>
          </cell>
          <cell r="P140">
            <v>1.4</v>
          </cell>
        </row>
        <row r="141">
          <cell r="A141">
            <v>140</v>
          </cell>
          <cell r="B141">
            <v>36382</v>
          </cell>
          <cell r="C141" t="str">
            <v>Andrew</v>
          </cell>
          <cell r="D141" t="str">
            <v>U</v>
          </cell>
          <cell r="E141" t="str">
            <v>CT</v>
          </cell>
          <cell r="F141" t="str">
            <v>SC</v>
          </cell>
          <cell r="G141" t="str">
            <v>EG</v>
          </cell>
          <cell r="H141" t="str">
            <v>M</v>
          </cell>
          <cell r="I141" t="str">
            <v>H</v>
          </cell>
          <cell r="J141" t="str">
            <v>Closed</v>
          </cell>
          <cell r="K141" t="str">
            <v>[See 147] After clicking Approval tab under EG setup, garbage is displayed as shown in the screen shot. [See 147]</v>
          </cell>
          <cell r="L141" t="str">
            <v>-</v>
          </cell>
          <cell r="M141" t="str">
            <v>Incidents 10Aug99\Andrew\Aug 10.doc</v>
          </cell>
          <cell r="N141" t="str">
            <v>12 Aug 99: Cannot replicate the problem [Helen]. 16 Aug 99: Verified by Andrew.</v>
          </cell>
          <cell r="O141" t="str">
            <v>P1</v>
          </cell>
          <cell r="P141">
            <v>1.2</v>
          </cell>
        </row>
        <row r="142">
          <cell r="A142">
            <v>141</v>
          </cell>
          <cell r="B142">
            <v>36382</v>
          </cell>
          <cell r="C142" t="str">
            <v>Iida</v>
          </cell>
          <cell r="D142" t="str">
            <v>U</v>
          </cell>
          <cell r="E142" t="str">
            <v>CT</v>
          </cell>
          <cell r="F142" t="str">
            <v>SC</v>
          </cell>
          <cell r="G142" t="str">
            <v>Inq</v>
          </cell>
          <cell r="H142" t="str">
            <v>M</v>
          </cell>
          <cell r="I142" t="str">
            <v>H</v>
          </cell>
          <cell r="J142" t="str">
            <v>Dup</v>
          </cell>
          <cell r="K142" t="str">
            <v>[See 133] From Home screen, entered 10351541 as PF Number and selected “Client Window US”. The search should have failed since PF 10351541 is an account number and not a PF number.</v>
          </cell>
          <cell r="L142" t="str">
            <v>Takeda 3.6.1, 3.6.2.doc</v>
          </cell>
          <cell r="M142" t="str">
            <v>Incidents 10Aug99\Iida\T-49.doc</v>
          </cell>
          <cell r="N142" t="str">
            <v>11 Aug 99: Duplicate of 133.</v>
          </cell>
          <cell r="O142" t="str">
            <v>P1</v>
          </cell>
          <cell r="P142">
            <v>1.3</v>
          </cell>
        </row>
        <row r="143">
          <cell r="A143">
            <v>142</v>
          </cell>
          <cell r="B143">
            <v>36382</v>
          </cell>
          <cell r="C143" t="str">
            <v>Iida</v>
          </cell>
          <cell r="D143" t="str">
            <v>U</v>
          </cell>
          <cell r="E143" t="str">
            <v>UT</v>
          </cell>
          <cell r="F143" t="str">
            <v>PA</v>
          </cell>
          <cell r="G143" t="str">
            <v>Inq</v>
          </cell>
          <cell r="H143" t="str">
            <v>M</v>
          </cell>
          <cell r="I143" t="str">
            <v>H</v>
          </cell>
          <cell r="J143" t="str">
            <v>Closed</v>
          </cell>
          <cell r="K143" t="str">
            <v>Unable to find a match for a valid PF number 97447403.</v>
          </cell>
          <cell r="L143" t="str">
            <v>Takeda 3.6.1, 3.6.2.doc</v>
          </cell>
          <cell r="M143" t="str">
            <v>Incidents 10Aug99\Iida\T-49.doc</v>
          </cell>
          <cell r="N143" t="str">
            <v>16 Aug 99: 97447403 is a ClientWindow entitlement group number which when used in portfolio search results in zero match [Aegidia]. 18 Aug 99: Changed from DR to UT [Aegidia].</v>
          </cell>
          <cell r="O143" t="str">
            <v>P1</v>
          </cell>
          <cell r="P143">
            <v>1.3</v>
          </cell>
        </row>
        <row r="144">
          <cell r="A144">
            <v>143</v>
          </cell>
          <cell r="B144">
            <v>36382</v>
          </cell>
          <cell r="C144" t="str">
            <v>Iida</v>
          </cell>
          <cell r="D144" t="str">
            <v>U</v>
          </cell>
          <cell r="E144" t="str">
            <v>NR</v>
          </cell>
          <cell r="F144" t="str">
            <v>PA</v>
          </cell>
          <cell r="G144" t="str">
            <v>Inq</v>
          </cell>
          <cell r="H144" t="str">
            <v>M</v>
          </cell>
          <cell r="I144" t="str">
            <v>H</v>
          </cell>
          <cell r="J144" t="str">
            <v>Auth</v>
          </cell>
          <cell r="K144" t="str">
            <v>In the “Savings Account” screen, some account numbers are displayed as 11 digits while others are 8. For searching, 8 digits is desirable while for display purposes, 11 digits are acceptable.</v>
          </cell>
          <cell r="L144" t="str">
            <v>Takeda 3.6.1, 3.6.2.doc</v>
          </cell>
          <cell r="M144" t="str">
            <v>Incidents 10Aug99\Iida\T-49.doc</v>
          </cell>
          <cell r="N144" t="str">
            <v>16 Aug 99: Changed from DR to CT as the user would like to see a wild card search for account numbers [Aegidia]. 17 Aug 99: Changed from CT to NR [Sandeep].</v>
          </cell>
          <cell r="O144" t="str">
            <v>P2</v>
          </cell>
        </row>
        <row r="145">
          <cell r="A145">
            <v>144</v>
          </cell>
          <cell r="B145">
            <v>36382</v>
          </cell>
          <cell r="C145" t="str">
            <v>Helen</v>
          </cell>
          <cell r="D145" t="str">
            <v>U</v>
          </cell>
          <cell r="E145" t="str">
            <v>UT</v>
          </cell>
          <cell r="F145" t="str">
            <v>PA</v>
          </cell>
          <cell r="G145" t="str">
            <v>EG</v>
          </cell>
          <cell r="H145" t="str">
            <v>L</v>
          </cell>
          <cell r="I145" t="str">
            <v>L</v>
          </cell>
          <cell r="J145" t="str">
            <v>Closed</v>
          </cell>
          <cell r="K145" t="str">
            <v>Re-created an LEG for Wei Chien Yang successfully. However, the values in the “Select Location” list are now different from last week. There is no “Zurich” and “Geneva” but instead only “Switzerland” is shown.</v>
          </cell>
          <cell r="L145" t="str">
            <v>-</v>
          </cell>
          <cell r="M145" t="str">
            <v>Incidents 10Aug99\Helen\10Aug99-cycle 1.doc</v>
          </cell>
          <cell r="N145" t="str">
            <v>12 Aug 99: LEG Location Maintenance for Geneva and Zurich changed to Switzerland.</v>
          </cell>
          <cell r="O145" t="str">
            <v>P1</v>
          </cell>
          <cell r="P145">
            <v>1.1000000000000001</v>
          </cell>
        </row>
        <row r="146">
          <cell r="A146">
            <v>145</v>
          </cell>
          <cell r="B146">
            <v>36382</v>
          </cell>
          <cell r="C146" t="str">
            <v>Helen</v>
          </cell>
          <cell r="D146" t="str">
            <v>U</v>
          </cell>
          <cell r="E146" t="str">
            <v>CT</v>
          </cell>
          <cell r="F146" t="str">
            <v>SC</v>
          </cell>
          <cell r="G146" t="str">
            <v>EG</v>
          </cell>
          <cell r="H146" t="str">
            <v>L</v>
          </cell>
          <cell r="I146" t="str">
            <v>L</v>
          </cell>
          <cell r="J146" t="str">
            <v>Dup</v>
          </cell>
          <cell r="K146" t="str">
            <v>[See 28] The “Select Location” list in “Create New LEG” screen is not sorted.</v>
          </cell>
          <cell r="L146" t="str">
            <v>-</v>
          </cell>
          <cell r="M146" t="str">
            <v>Incidents 10Aug99\Helen\10Aug99-cycle 1.doc</v>
          </cell>
          <cell r="N146" t="str">
            <v>11 Aug 99: Duplicate of 28! Needs the Sort Order to be defined for Asia. 24 Aug 99: Closed [Sam]</v>
          </cell>
          <cell r="O146" t="str">
            <v>P1</v>
          </cell>
          <cell r="P146">
            <v>1.2</v>
          </cell>
        </row>
        <row r="147">
          <cell r="A147">
            <v>146</v>
          </cell>
          <cell r="B147">
            <v>36382</v>
          </cell>
          <cell r="C147" t="str">
            <v>Helen</v>
          </cell>
          <cell r="D147" t="str">
            <v>U</v>
          </cell>
          <cell r="E147" t="str">
            <v>CT</v>
          </cell>
          <cell r="F147" t="str">
            <v>SC</v>
          </cell>
          <cell r="G147" t="str">
            <v>EG</v>
          </cell>
          <cell r="H147" t="str">
            <v>S</v>
          </cell>
          <cell r="I147" t="str">
            <v>H</v>
          </cell>
          <cell r="J147" t="str">
            <v>Closed</v>
          </cell>
          <cell r="K147" t="str">
            <v>[See 204] Failed to re-create an LEG for GEG Masterpiece Holdings Ltd. Got the following error message: “Local Entitlement Already Exists for this Entitlement”.</v>
          </cell>
          <cell r="L147" t="str">
            <v>-</v>
          </cell>
          <cell r="M147" t="str">
            <v>Incidents 10Aug99\Helen\10Aug99-cycle 1.doc</v>
          </cell>
          <cell r="N147" t="str">
            <v>11 Aug 99: Changed from CT to DI. 23 Aug 99: Changed from DI (Authorised) to CT (Fixed); fixed in v1.3. 24 Aug 99: Helen to re-test [Sam]. 2 Sept 99: Verified fix in v1.4+ [Helen].</v>
          </cell>
          <cell r="O147" t="str">
            <v>P1</v>
          </cell>
          <cell r="P147">
            <v>1.3</v>
          </cell>
        </row>
        <row r="148">
          <cell r="A148">
            <v>147</v>
          </cell>
          <cell r="B148">
            <v>36382</v>
          </cell>
          <cell r="C148" t="str">
            <v>Helen</v>
          </cell>
          <cell r="D148" t="str">
            <v>U</v>
          </cell>
          <cell r="E148" t="str">
            <v>CT</v>
          </cell>
          <cell r="F148" t="str">
            <v>SC</v>
          </cell>
          <cell r="G148" t="str">
            <v>EG</v>
          </cell>
          <cell r="H148" t="str">
            <v>M</v>
          </cell>
          <cell r="I148" t="str">
            <v>H</v>
          </cell>
          <cell r="J148" t="str">
            <v>Dup</v>
          </cell>
          <cell r="K148" t="str">
            <v>[See 140] The following (garbage) screen is shown after clicking the Approve tab. The same screen is displayed when the maker of the transaction clicks the Approve tab. Refer to the retest results of release 1.1.</v>
          </cell>
          <cell r="L148" t="str">
            <v>-</v>
          </cell>
          <cell r="M148" t="str">
            <v>Incidents 10Aug99\Helen\10Aug99-cycle 1.doc</v>
          </cell>
          <cell r="N148" t="str">
            <v>12 Aug 99: Cannot replicate the incident [Helen]. 24 Aug 99: Closed [Sam]</v>
          </cell>
          <cell r="O148" t="str">
            <v>P1</v>
          </cell>
          <cell r="P148">
            <v>1.2</v>
          </cell>
        </row>
        <row r="149">
          <cell r="A149">
            <v>148</v>
          </cell>
          <cell r="B149">
            <v>36382</v>
          </cell>
          <cell r="C149" t="str">
            <v>Helen</v>
          </cell>
          <cell r="D149" t="str">
            <v>U</v>
          </cell>
          <cell r="E149" t="str">
            <v>CT</v>
          </cell>
          <cell r="F149" t="str">
            <v>SC</v>
          </cell>
          <cell r="G149" t="str">
            <v>EG</v>
          </cell>
          <cell r="H149" t="str">
            <v>L</v>
          </cell>
          <cell r="I149" t="str">
            <v>M</v>
          </cell>
          <cell r="J149" t="str">
            <v>Dup</v>
          </cell>
          <cell r="K149" t="str">
            <v>[See 13] The following message is given while the banker attempted to generate a report on rejected transactions for her clients: “The report was incomplete because of the following reasons:: The selection criteria yields no records”. The report on reject</v>
          </cell>
          <cell r="L149" t="str">
            <v>-</v>
          </cell>
          <cell r="M149" t="str">
            <v>Incidents 10Aug99\Helen\10Aug99-cycle 1.doc</v>
          </cell>
          <cell r="N149" t="str">
            <v>17 Aug 99: The checker (Fiona Hsu) cannot generate reports on rejected transactions. The same report can be generated by the maker (Margaret Cheng) using the same selection criteria (page 2) [Helen]. 24 Aug 99: Helen to re-test [Sam].</v>
          </cell>
          <cell r="O149" t="str">
            <v>P1</v>
          </cell>
          <cell r="P149">
            <v>1.2</v>
          </cell>
        </row>
        <row r="150">
          <cell r="A150">
            <v>149</v>
          </cell>
          <cell r="B150">
            <v>36382</v>
          </cell>
          <cell r="C150" t="str">
            <v>Andrew</v>
          </cell>
          <cell r="D150" t="str">
            <v>U</v>
          </cell>
          <cell r="E150" t="str">
            <v>DR</v>
          </cell>
          <cell r="F150" t="str">
            <v>AW</v>
          </cell>
          <cell r="G150" t="str">
            <v>Inq</v>
          </cell>
          <cell r="H150" t="str">
            <v>M</v>
          </cell>
          <cell r="I150" t="str">
            <v>H</v>
          </cell>
          <cell r="J150" t="str">
            <v>Closed</v>
          </cell>
          <cell r="K150" t="str">
            <v>In the “Current Account” screen, the ‘as of date’ is different from SBOS. Also, why are the dates for Call and Current accounts different?</v>
          </cell>
          <cell r="L150" t="str">
            <v>-</v>
          </cell>
          <cell r="M150" t="str">
            <v>Incidents 10Aug99\Andrew\Aug 10 (pm).doc</v>
          </cell>
          <cell r="N150" t="str">
            <v>18 Aug 99: Changed priority from M to H [Peter]. 21 Aug 99: Fixed in 8 Aug feed; ready for retest in Cycle 3 [Aegidia] 24 Aug 99: Andrew to re-test [Sam] 25 Aug 99: Verified by Andrew.</v>
          </cell>
          <cell r="O150" t="str">
            <v>P1</v>
          </cell>
          <cell r="P150">
            <v>1.3</v>
          </cell>
        </row>
        <row r="151">
          <cell r="A151">
            <v>150</v>
          </cell>
          <cell r="B151">
            <v>36382</v>
          </cell>
          <cell r="C151" t="str">
            <v>Andrew</v>
          </cell>
          <cell r="D151" t="str">
            <v>U</v>
          </cell>
          <cell r="E151" t="str">
            <v>NR</v>
          </cell>
          <cell r="F151" t="str">
            <v>PA</v>
          </cell>
          <cell r="G151" t="str">
            <v>Cor</v>
          </cell>
          <cell r="H151" t="str">
            <v>L</v>
          </cell>
          <cell r="I151" t="str">
            <v>L</v>
          </cell>
          <cell r="J151" t="str">
            <v>Auth</v>
          </cell>
          <cell r="K151" t="str">
            <v xml:space="preserve">The user cannot tell which product processor they are corridoring to. For example, if the user corridors at 7/762766/005 in the same line as Portfolio Overview: Investment Counseling at the top quadrant, it will bring the user to FOS. This is not obvious </v>
          </cell>
          <cell r="L151" t="str">
            <v>-</v>
          </cell>
          <cell r="M151" t="str">
            <v>Incidents 10Aug99\Andrew\Aug 10 (pm).doc</v>
          </cell>
          <cell r="O151" t="str">
            <v>P2</v>
          </cell>
        </row>
        <row r="152">
          <cell r="A152">
            <v>151</v>
          </cell>
          <cell r="B152">
            <v>36382</v>
          </cell>
          <cell r="C152" t="str">
            <v>Andrew</v>
          </cell>
          <cell r="D152" t="str">
            <v>U</v>
          </cell>
          <cell r="E152" t="str">
            <v>DR</v>
          </cell>
          <cell r="F152" t="str">
            <v>AW</v>
          </cell>
          <cell r="G152" t="str">
            <v>Inq</v>
          </cell>
          <cell r="H152" t="str">
            <v>M</v>
          </cell>
          <cell r="I152" t="str">
            <v>H</v>
          </cell>
          <cell r="J152" t="str">
            <v>Closed</v>
          </cell>
          <cell r="K152" t="str">
            <v>In the “Time Deposits” screen, the description field is shows as “N/A”. However, in SBOS it shows as “Citicorp Citibank Sin” under Short Term Investments in EVAL screen. Is there any way to show that instead? (See 219 which is an extension of this.)</v>
          </cell>
          <cell r="L152" t="str">
            <v>-</v>
          </cell>
          <cell r="M152" t="str">
            <v>Incidents 10Aug99\Andrew\Aug 10 (pm).doc</v>
          </cell>
          <cell r="N152" t="str">
            <v>16 Aug 99: Changed from DR to NR As this field is currently not mapped [Aegidia]. 18 Aug 99: Changed from NR to CT as the requirements did state that descriptions of the holdings should be reflected [Peter]. 20 Aug 99: Aegidia has confirmed that Time Depo</v>
          </cell>
          <cell r="O152" t="str">
            <v>P1</v>
          </cell>
          <cell r="P152">
            <v>1.4</v>
          </cell>
        </row>
        <row r="153">
          <cell r="A153">
            <v>152</v>
          </cell>
          <cell r="B153">
            <v>36382</v>
          </cell>
          <cell r="C153" t="str">
            <v>Andrew</v>
          </cell>
          <cell r="D153" t="str">
            <v>U</v>
          </cell>
          <cell r="E153" t="str">
            <v>DR</v>
          </cell>
          <cell r="F153" t="str">
            <v>AW</v>
          </cell>
          <cell r="G153" t="str">
            <v>Inq</v>
          </cell>
          <cell r="H153" t="str">
            <v>M</v>
          </cell>
          <cell r="I153" t="str">
            <v>H</v>
          </cell>
          <cell r="J153" t="str">
            <v>Closed</v>
          </cell>
          <cell r="K153" t="str">
            <v xml:space="preserve">In the “Margin Loans” screen, the ‘accrued int’ amounts are wrong. For Reference number 2991621038, the amount should be 890.41. This is obtainable from SBOS – EVAL screen, field ‘Interest Accrued to Date’ (need to guide Aegidia on the navigation in SBOS </v>
          </cell>
          <cell r="L153" t="str">
            <v>-</v>
          </cell>
          <cell r="M153" t="str">
            <v>Incidents 10Aug99\Andrew\Aug 10 (pm).doc</v>
          </cell>
          <cell r="N153" t="str">
            <v>16 Aug 99:Fixed in 7 Jul feed [Aegidia]. 23 Aug 99: Failed verification in v1.3 [Andrew]. 24 Aug 99: The “Accrued Interest” in SBOS and CSP are different. Please also change the description for incident 152 to read as “….obtainable from SBOS – EVAL screen</v>
          </cell>
          <cell r="O153" t="str">
            <v>P1</v>
          </cell>
          <cell r="P153">
            <v>1.2</v>
          </cell>
        </row>
        <row r="154">
          <cell r="A154">
            <v>153</v>
          </cell>
          <cell r="B154">
            <v>36382</v>
          </cell>
          <cell r="C154" t="str">
            <v>Andrew</v>
          </cell>
          <cell r="D154" t="str">
            <v>U</v>
          </cell>
          <cell r="E154" t="str">
            <v>CT</v>
          </cell>
          <cell r="F154" t="str">
            <v>SC</v>
          </cell>
          <cell r="G154" t="str">
            <v>Cor</v>
          </cell>
          <cell r="H154" t="str">
            <v>M</v>
          </cell>
          <cell r="I154" t="str">
            <v>H</v>
          </cell>
          <cell r="J154" t="str">
            <v>Closed</v>
          </cell>
          <cell r="K154" t="str">
            <v>If the corridor is not available for 762766E01, could we have different look (different color and no underline)? If it can be different, the users will not be confused (raised from the “Outgoing Code 1” screen).</v>
          </cell>
          <cell r="L154" t="str">
            <v>-</v>
          </cell>
          <cell r="M154" t="str">
            <v>Incidents 10Aug99\Andrew\Aug 10 (pm).doc</v>
          </cell>
          <cell r="N154" t="str">
            <v>12 Aug 99: We have defined corridor requirement with regards to OASIS transactions e.g. outgoing code 1. User should be corridored to OASIS off-unit maintenance screen/detail asset by portfolio screen/detail exposure by portfolio screen after clicking the</v>
          </cell>
          <cell r="O154" t="str">
            <v>P1</v>
          </cell>
          <cell r="P154">
            <v>1.5</v>
          </cell>
        </row>
        <row r="155">
          <cell r="A155">
            <v>154</v>
          </cell>
          <cell r="B155">
            <v>36382</v>
          </cell>
          <cell r="C155" t="str">
            <v>Andrew</v>
          </cell>
          <cell r="D155" t="str">
            <v>U</v>
          </cell>
          <cell r="E155" t="str">
            <v>CT</v>
          </cell>
          <cell r="F155" t="str">
            <v>SC</v>
          </cell>
          <cell r="G155" t="str">
            <v>Inq</v>
          </cell>
          <cell r="H155" t="str">
            <v>M</v>
          </cell>
          <cell r="I155" t="str">
            <v>H</v>
          </cell>
          <cell r="J155" t="str">
            <v>Closed</v>
          </cell>
          <cell r="K155" t="str">
            <v>In the “Portfolio Overview” screen, the liability number is missing in CSP. It can be obtained from SBOS – CARD screen (see screen below – near the middle of the screen, 6th row from the top in the left half of the screen).</v>
          </cell>
          <cell r="L155" t="str">
            <v>-</v>
          </cell>
          <cell r="M155" t="str">
            <v>Incidents 10Aug99\Andrew\Aug 10 (pm).doc</v>
          </cell>
          <cell r="N155" t="str">
            <v>16 Aug 99: Changed from DR to CT as the Liability Number is present in the feed but it is not shown on the screen [Aegidia]. 23 Aug 99: Fixed in v1.3 [Sandeep]. Verified fix in v1.3 [Andrew].</v>
          </cell>
          <cell r="O155" t="str">
            <v>P1</v>
          </cell>
          <cell r="P155">
            <v>1.3</v>
          </cell>
        </row>
        <row r="156">
          <cell r="A156">
            <v>155</v>
          </cell>
          <cell r="B156">
            <v>36382</v>
          </cell>
          <cell r="C156" t="str">
            <v>Andrew</v>
          </cell>
          <cell r="D156" t="str">
            <v>U</v>
          </cell>
          <cell r="E156" t="str">
            <v>UT</v>
          </cell>
          <cell r="F156" t="str">
            <v>PA</v>
          </cell>
          <cell r="G156" t="str">
            <v>Inq</v>
          </cell>
          <cell r="H156" t="str">
            <v>M</v>
          </cell>
          <cell r="I156" t="str">
            <v>H</v>
          </cell>
          <cell r="J156" t="str">
            <v>Closed</v>
          </cell>
          <cell r="K156" t="str">
            <v>Under Home screen’s “Portfolio” tab, the search returned with no match. However, if the search was done from “Relationship” tab, the Lead Banker is Vincent Lau and search was successful.</v>
          </cell>
          <cell r="L156" t="str">
            <v>-</v>
          </cell>
          <cell r="M156" t="str">
            <v>Incidents 10Aug99\Andrew\Aug 10 (pm).doc</v>
          </cell>
          <cell r="N156" t="str">
            <v>12 Aug 99: Sing PF # 7/762766/005 is ok. 14 Aug: For Base search input 762766* . 16 Aug 99: Verified by Andrew in v1.2.</v>
          </cell>
          <cell r="O156" t="str">
            <v>P1</v>
          </cell>
          <cell r="P156">
            <v>1.2</v>
          </cell>
        </row>
        <row r="157">
          <cell r="A157">
            <v>156</v>
          </cell>
          <cell r="B157">
            <v>36382</v>
          </cell>
          <cell r="C157" t="str">
            <v>Andrew</v>
          </cell>
          <cell r="D157" t="str">
            <v>U</v>
          </cell>
          <cell r="E157" t="str">
            <v>CT</v>
          </cell>
          <cell r="F157" t="str">
            <v>SC</v>
          </cell>
          <cell r="G157" t="str">
            <v>Cor</v>
          </cell>
          <cell r="H157" t="str">
            <v>M</v>
          </cell>
          <cell r="I157" t="str">
            <v>H</v>
          </cell>
          <cell r="J157" t="str">
            <v>Closed</v>
          </cell>
          <cell r="K157" t="str">
            <v>After I corridor to MBOasis, there is an error message “SMS denied access for this Portfolio Manager”. Additionally, when corridoring to the MBOasis system from the shortfall status field, was asked to input the ID and password, which was done. Consequent</v>
          </cell>
          <cell r="L157" t="str">
            <v>-</v>
          </cell>
          <cell r="M157" t="str">
            <v>Incidents 10Aug99\Andrew\Aug 10 (pm).doc</v>
          </cell>
          <cell r="N157" t="str">
            <v>11 Aug 99: Changed from CT to UT. 24 Aug 99: Changed to CT and very high priority [Sam]. Changed from CT to UT [Sandeep]. 25 Aug 99: Changed from Closed to Authorised [Andrew]. 31 Aug 99: Re-raised by Andrew. 2 Sep 99: Changed from UT to CT [Andrew]. Sand</v>
          </cell>
          <cell r="O157" t="str">
            <v>P1</v>
          </cell>
          <cell r="P157">
            <v>1.5</v>
          </cell>
        </row>
        <row r="158">
          <cell r="A158">
            <v>157</v>
          </cell>
          <cell r="B158">
            <v>36383</v>
          </cell>
          <cell r="C158" t="str">
            <v>Toda</v>
          </cell>
          <cell r="D158" t="str">
            <v>U</v>
          </cell>
          <cell r="E158" t="str">
            <v>UT</v>
          </cell>
          <cell r="F158" t="str">
            <v>PA</v>
          </cell>
          <cell r="G158" t="str">
            <v>EG</v>
          </cell>
          <cell r="H158" t="str">
            <v>M</v>
          </cell>
          <cell r="I158" t="str">
            <v>H</v>
          </cell>
          <cell r="J158" t="str">
            <v>Closed</v>
          </cell>
          <cell r="K158" t="str">
            <v>[See 158] Back Button: Successfully created GEG for Midori K K. Then created LEG choosing Tokyo as the location. Then from the Define LEG Roles screen, created a role for Midori K K. Clicked “Save and Exit”. Then added account number for Tokyo. Since this</v>
          </cell>
          <cell r="L158" t="str">
            <v>-</v>
          </cell>
          <cell r="M158" t="str">
            <v>Incidents 11Aug99\Toda\T50's-Midori 1.doc</v>
          </cell>
          <cell r="N158" t="str">
            <v>12 Aug 99: Disable Browser Back. 14 Aug: Should not use Browser Back in EG &amp; SCL.</v>
          </cell>
          <cell r="O158" t="str">
            <v>P1</v>
          </cell>
          <cell r="P158">
            <v>1.3</v>
          </cell>
        </row>
        <row r="159">
          <cell r="A159">
            <v>158</v>
          </cell>
          <cell r="B159">
            <v>36383</v>
          </cell>
          <cell r="C159" t="str">
            <v>Toda</v>
          </cell>
          <cell r="D159" t="str">
            <v>U</v>
          </cell>
          <cell r="E159" t="str">
            <v>CT</v>
          </cell>
          <cell r="F159" t="str">
            <v>SC</v>
          </cell>
          <cell r="G159" t="str">
            <v>EG</v>
          </cell>
          <cell r="H159" t="str">
            <v>S</v>
          </cell>
          <cell r="I159" t="str">
            <v>H</v>
          </cell>
          <cell r="J159" t="str">
            <v>Closed</v>
          </cell>
          <cell r="K159" t="str">
            <v>[See 157] Tried to remove one of the two Morito Akio (Auth Sig) and Fukushima Mizuho (Auth Sig) roles from the “Member Roles You Have Defined” field. However, on the “GEG Overview” screen, each of these two names were displayed twice! That is, they were n</v>
          </cell>
          <cell r="L159" t="str">
            <v>-</v>
          </cell>
          <cell r="M159" t="str">
            <v>Incidents 11Aug99\Toda\T50's-Midori 1.doc</v>
          </cell>
          <cell r="N159" t="str">
            <v>26 Aug 99: Fixed verified in v1.3 [Jacob].</v>
          </cell>
          <cell r="O159" t="str">
            <v>P1</v>
          </cell>
          <cell r="P159">
            <v>1.2</v>
          </cell>
        </row>
        <row r="160">
          <cell r="A160">
            <v>159</v>
          </cell>
          <cell r="B160">
            <v>36383</v>
          </cell>
          <cell r="C160" t="str">
            <v>Toda</v>
          </cell>
          <cell r="D160" t="str">
            <v>U</v>
          </cell>
          <cell r="E160" t="str">
            <v>NR</v>
          </cell>
          <cell r="F160" t="str">
            <v>PA</v>
          </cell>
          <cell r="G160" t="str">
            <v>EG</v>
          </cell>
          <cell r="H160" t="str">
            <v>L</v>
          </cell>
          <cell r="I160" t="str">
            <v>L</v>
          </cell>
          <cell r="J160" t="str">
            <v>Auth</v>
          </cell>
          <cell r="K160" t="str">
            <v>On creating a new LEG, chose Tokyo as the location and “priority” as the Service Tier. Then, unable to change the Service Tier to Tailored.</v>
          </cell>
          <cell r="L160" t="str">
            <v>-</v>
          </cell>
          <cell r="M160" t="str">
            <v>Incidents 11Aug99\Toda\T50's-Midori 1.doc</v>
          </cell>
          <cell r="N160" t="str">
            <v>27 Aug 99: Don't need for Phase 1[Keith].</v>
          </cell>
          <cell r="O160" t="str">
            <v>P2</v>
          </cell>
        </row>
        <row r="161">
          <cell r="A161">
            <v>160</v>
          </cell>
          <cell r="B161">
            <v>36383</v>
          </cell>
          <cell r="C161" t="str">
            <v>Iida</v>
          </cell>
          <cell r="D161" t="str">
            <v>U</v>
          </cell>
          <cell r="E161" t="str">
            <v>MC</v>
          </cell>
          <cell r="F161" t="str">
            <v>JR</v>
          </cell>
          <cell r="G161" t="str">
            <v>EG</v>
          </cell>
          <cell r="H161" t="str">
            <v>L</v>
          </cell>
          <cell r="I161" t="str">
            <v>L</v>
          </cell>
          <cell r="J161" t="str">
            <v>Closed</v>
          </cell>
          <cell r="K161" t="str">
            <v>From the “Define LEG Roles” screen, tried to define roles. However, the main member (relationship head, Ichiro Suzuki) is not listed under the Member’s list. (Notice, that the joint owner, Takako Suzuki, is listed).</v>
          </cell>
          <cell r="L161" t="str">
            <v>4.1.4.doc</v>
          </cell>
          <cell r="M161" t="str">
            <v>Incidents 11Aug99\Iida\T_51_2.doc</v>
          </cell>
          <cell r="N161" t="str">
            <v>12 Aug 99: Test Case is incorrect. 23 Aug 99: Test Cace based on Prototype [Jacob].</v>
          </cell>
          <cell r="O161" t="str">
            <v>P1</v>
          </cell>
          <cell r="P161">
            <v>1.2</v>
          </cell>
        </row>
        <row r="162">
          <cell r="A162">
            <v>161</v>
          </cell>
          <cell r="B162">
            <v>36383</v>
          </cell>
          <cell r="C162" t="str">
            <v>Iida</v>
          </cell>
          <cell r="D162" t="str">
            <v>U</v>
          </cell>
          <cell r="E162" t="str">
            <v>MC</v>
          </cell>
          <cell r="F162" t="str">
            <v>JR</v>
          </cell>
          <cell r="G162" t="str">
            <v>EG</v>
          </cell>
          <cell r="H162" t="str">
            <v>L</v>
          </cell>
          <cell r="I162" t="str">
            <v>L</v>
          </cell>
          <cell r="J162" t="str">
            <v>Closed</v>
          </cell>
          <cell r="K162" t="str">
            <v>Successfully created “Takako Suzuki’s” role as a Third Party Member (TPM) when not expecting to set-up this role (as per the Test Case, 4.1.4.doc).</v>
          </cell>
          <cell r="L162" t="str">
            <v>4.1.4.doc</v>
          </cell>
          <cell r="M162" t="str">
            <v>-</v>
          </cell>
          <cell r="N162" t="str">
            <v>11 Aug 99: Check Test Case. 12 Aug 99: Test Case is incorrect. 23 Aug 99: Test Cace based on Prototype [Jacob].</v>
          </cell>
          <cell r="O162" t="str">
            <v>P1</v>
          </cell>
          <cell r="P162">
            <v>1.2</v>
          </cell>
        </row>
        <row r="163">
          <cell r="A163">
            <v>162</v>
          </cell>
          <cell r="B163">
            <v>36383</v>
          </cell>
          <cell r="C163" t="str">
            <v>Iida</v>
          </cell>
          <cell r="D163" t="str">
            <v>U</v>
          </cell>
          <cell r="E163" t="str">
            <v>UT</v>
          </cell>
          <cell r="F163" t="str">
            <v>PA</v>
          </cell>
          <cell r="G163" t="str">
            <v>EG</v>
          </cell>
          <cell r="H163" t="str">
            <v>L</v>
          </cell>
          <cell r="I163" t="str">
            <v>M</v>
          </cell>
          <cell r="J163" t="str">
            <v>Closed</v>
          </cell>
          <cell r="K163" t="str">
            <v>In the “Relationship Overview” screen, expecting to see the “Sole Owner” column to be populated for Takako Suzuki and Ichiro Suzuki (who are the joint signatories).</v>
          </cell>
          <cell r="L163" t="str">
            <v>4.2.3.doc</v>
          </cell>
          <cell r="M163" t="str">
            <v>Incidents 11Aug99\Iida\T_54.doc</v>
          </cell>
          <cell r="N163" t="str">
            <v>12 Aug 99: Use Member Role button at GEG level to see all the roles.</v>
          </cell>
          <cell r="O163" t="str">
            <v>P1</v>
          </cell>
          <cell r="P163">
            <v>1.3</v>
          </cell>
        </row>
        <row r="164">
          <cell r="A164">
            <v>163</v>
          </cell>
          <cell r="B164">
            <v>36383</v>
          </cell>
          <cell r="C164" t="str">
            <v>Iida</v>
          </cell>
          <cell r="D164" t="str">
            <v>U</v>
          </cell>
          <cell r="E164" t="str">
            <v>UT</v>
          </cell>
          <cell r="F164" t="str">
            <v>PA</v>
          </cell>
          <cell r="G164" t="str">
            <v>Inq</v>
          </cell>
          <cell r="H164" t="str">
            <v>L</v>
          </cell>
          <cell r="I164" t="str">
            <v>L</v>
          </cell>
          <cell r="J164" t="str">
            <v>Closed</v>
          </cell>
          <cell r="K164" t="str">
            <v>[See 173, 353] Mouse Over: In the “Relationship Overview” screen, hyperlink name is truncated. For example, “Suzuki, Ichiro; Suzuki Takako” is shown as “Suzuki, Ichiro; Suzuk”.</v>
          </cell>
          <cell r="L164" t="str">
            <v>4.2.3.doc</v>
          </cell>
          <cell r="M164" t="str">
            <v>-</v>
          </cell>
          <cell r="N164" t="str">
            <v>11 Aug 99: Mouse over shows the whole name. 12 Aug 99: Increase the truncation size.</v>
          </cell>
          <cell r="O164" t="str">
            <v>P1</v>
          </cell>
          <cell r="P164">
            <v>1.3</v>
          </cell>
        </row>
        <row r="165">
          <cell r="A165">
            <v>164</v>
          </cell>
          <cell r="B165">
            <v>36383</v>
          </cell>
          <cell r="C165" t="str">
            <v>Andrew</v>
          </cell>
          <cell r="D165" t="str">
            <v>U</v>
          </cell>
          <cell r="E165" t="str">
            <v>DR</v>
          </cell>
          <cell r="F165" t="str">
            <v>AW</v>
          </cell>
          <cell r="G165" t="str">
            <v>Inq</v>
          </cell>
          <cell r="H165" t="str">
            <v>M</v>
          </cell>
          <cell r="I165" t="str">
            <v>H</v>
          </cell>
          <cell r="J165" t="str">
            <v>Closed</v>
          </cell>
          <cell r="K165" t="str">
            <v>In the “Outgoing Code 1” screen, the ‘Loanable Value (nom ccy)’ and ‘Loanable value (ref ccy)’ are wrong. It should be 300,000 (see below MBOasis screen).</v>
          </cell>
          <cell r="L165" t="str">
            <v>-</v>
          </cell>
          <cell r="M165" t="str">
            <v>Incidents 11Aug99\Andrew\Aug 11.doc</v>
          </cell>
          <cell r="N165" t="str">
            <v>16 Aug 99:Fixed in 7 Jul feed [Aegidia]. 18 Aug 99: Fixed today [Manish]. Verified dix in v1.3 [Andrew].</v>
          </cell>
          <cell r="O165" t="str">
            <v>P1</v>
          </cell>
          <cell r="P165">
            <v>1.2</v>
          </cell>
        </row>
        <row r="166">
          <cell r="A166">
            <v>165</v>
          </cell>
          <cell r="B166">
            <v>36383</v>
          </cell>
          <cell r="C166" t="str">
            <v>Andrew</v>
          </cell>
          <cell r="D166" t="str">
            <v>U</v>
          </cell>
          <cell r="E166" t="str">
            <v>CT</v>
          </cell>
          <cell r="F166" t="str">
            <v>SC</v>
          </cell>
          <cell r="G166" t="str">
            <v>Inq</v>
          </cell>
          <cell r="H166" t="str">
            <v>S</v>
          </cell>
          <cell r="I166" t="str">
            <v>H</v>
          </cell>
          <cell r="J166" t="str">
            <v>Closed</v>
          </cell>
          <cell r="K166" t="str">
            <v>In the “Portfolio Details” screen, the HAM indicator is missing. It should be ‘N’.</v>
          </cell>
          <cell r="L166" t="str">
            <v>-</v>
          </cell>
          <cell r="M166" t="str">
            <v>Incidents 11Aug99\Andrew\Aug 11.doc</v>
          </cell>
          <cell r="N166" t="str">
            <v>11 Aug 99: HAM is shown only on "Yes". Check with Andrew if this is ok [Sandeep]. 12 Aug 99: Andrew confirmed this. 16 Aug 99: Changed from DR to NR as the user wants to see 'N/A' when HAM flag is blank [Aegidia]. 23 Aug 99: Change from NR to CT. [Andrew]</v>
          </cell>
          <cell r="O166" t="str">
            <v>P1</v>
          </cell>
          <cell r="P166">
            <v>1.4</v>
          </cell>
        </row>
        <row r="167">
          <cell r="A167">
            <v>166</v>
          </cell>
          <cell r="B167">
            <v>36383</v>
          </cell>
          <cell r="C167" t="str">
            <v>Andrew</v>
          </cell>
          <cell r="D167" t="str">
            <v>U</v>
          </cell>
          <cell r="E167" t="str">
            <v>NR</v>
          </cell>
          <cell r="F167" t="str">
            <v>PA</v>
          </cell>
          <cell r="G167" t="str">
            <v>Inq</v>
          </cell>
          <cell r="H167" t="str">
            <v>L</v>
          </cell>
          <cell r="I167" t="str">
            <v>L</v>
          </cell>
          <cell r="J167" t="str">
            <v>Closed</v>
          </cell>
          <cell r="K167" t="str">
            <v>In the “Portfolio Details” screen, if ‘Blocked’ and ‘Pledged’ are not applicable, can we indicate ‘N/A’.</v>
          </cell>
          <cell r="L167" t="str">
            <v>-</v>
          </cell>
          <cell r="M167" t="str">
            <v>Incidents 11Aug99\Andrew\Aug 11.doc</v>
          </cell>
          <cell r="N167" t="str">
            <v>25 Aug 99: Changed from UT to NR. Also UT [Peter].</v>
          </cell>
          <cell r="O167" t="str">
            <v>P1</v>
          </cell>
          <cell r="P167">
            <v>1.3</v>
          </cell>
        </row>
        <row r="168">
          <cell r="A168">
            <v>167</v>
          </cell>
          <cell r="B168">
            <v>36383</v>
          </cell>
          <cell r="C168" t="str">
            <v>Andrew</v>
          </cell>
          <cell r="D168" t="str">
            <v>U</v>
          </cell>
          <cell r="E168" t="str">
            <v>CT</v>
          </cell>
          <cell r="F168" t="str">
            <v>SC</v>
          </cell>
          <cell r="G168" t="str">
            <v>Inq</v>
          </cell>
          <cell r="H168" t="str">
            <v>M</v>
          </cell>
          <cell r="I168" t="str">
            <v>H</v>
          </cell>
          <cell r="J168" t="str">
            <v>Closed</v>
          </cell>
          <cell r="K168" t="str">
            <v>In SBOS, there are no holdings of ‘Tabcorp Holdings’. In CSP (below), there are no holdings too but there is a Market Price (“Equities” screen).</v>
          </cell>
          <cell r="L168" t="str">
            <v>-</v>
          </cell>
          <cell r="M168" t="str">
            <v>Incidents 11Aug99\Andrew\Aug 11.doc</v>
          </cell>
          <cell r="N168" t="str">
            <v>18 Aug 99: As in SKST, CSP shows all equities that have ever been traded under a portfolio, including ones that have zero balances. Manish needs to investigate [Aegidia] 20 Aug 99: Should be a CT as users expect to see securities listed with holdings as i</v>
          </cell>
          <cell r="O168" t="str">
            <v>P1</v>
          </cell>
          <cell r="P168">
            <v>1.4</v>
          </cell>
        </row>
        <row r="169">
          <cell r="A169">
            <v>168</v>
          </cell>
          <cell r="B169">
            <v>36383</v>
          </cell>
          <cell r="C169" t="str">
            <v>Andrew</v>
          </cell>
          <cell r="D169" t="str">
            <v>U</v>
          </cell>
          <cell r="E169" t="str">
            <v>DR</v>
          </cell>
          <cell r="F169" t="str">
            <v>AW</v>
          </cell>
          <cell r="G169" t="str">
            <v>Inq</v>
          </cell>
          <cell r="H169" t="str">
            <v>M</v>
          </cell>
          <cell r="I169" t="str">
            <v>H</v>
          </cell>
          <cell r="J169" t="str">
            <v>Closed</v>
          </cell>
          <cell r="K169" t="str">
            <v>In “Equities” screen, the ‘Avg Unit Cost’ is different from SBOS. SBOS shows 10.455, while CSP shows 10.456.</v>
          </cell>
          <cell r="L169" t="str">
            <v>-</v>
          </cell>
          <cell r="M169" t="str">
            <v>Incidents 11Aug99\Andrew\Aug 11.doc</v>
          </cell>
          <cell r="N169" t="str">
            <v>24 Aug 99: Comments were deemed inappropriate and therefore deleted [Sam] 30 Aug 99: Reported fixed [Aegidia]. 31 Aug 99: Verified by Andrew in v1_.4.</v>
          </cell>
          <cell r="O169" t="str">
            <v>P1</v>
          </cell>
          <cell r="P169">
            <v>1.4</v>
          </cell>
        </row>
        <row r="170">
          <cell r="A170">
            <v>169</v>
          </cell>
          <cell r="B170">
            <v>36383</v>
          </cell>
          <cell r="C170" t="str">
            <v>Andrew</v>
          </cell>
          <cell r="D170" t="str">
            <v>U</v>
          </cell>
          <cell r="E170" t="str">
            <v>DR</v>
          </cell>
          <cell r="F170" t="str">
            <v>AW</v>
          </cell>
          <cell r="G170" t="str">
            <v>Inq</v>
          </cell>
          <cell r="H170" t="str">
            <v>M</v>
          </cell>
          <cell r="I170" t="str">
            <v>H</v>
          </cell>
          <cell r="J170" t="str">
            <v>Closed</v>
          </cell>
          <cell r="K170" t="str">
            <v>Discrepancies between SBOS and CSP in “Equities” screen: (1) Informatics Holdings Ltd - Issuer Country should be HK and Nom Ccy should be SGD per SBOS EVAL. (2) Adv System Auto - Issuer Country should be SG and Nom Ccy should be SGD per SBOS EVAL. (3) Chi</v>
          </cell>
          <cell r="L170" t="str">
            <v>-</v>
          </cell>
          <cell r="M170" t="str">
            <v>Incidents 11Aug99\Andrew\Aug 11.doc</v>
          </cell>
          <cell r="N170" t="str">
            <v xml:space="preserve">16 Aug 99: The entry for (1) in the security master shows the issuer country and nominal currency to be SG and SGD respectively. Would Andrew please verify. [Aegidia]. 17 Aug 99: This is accurate per SMMI. To verify against SMMI instead of EVAL. Also, to </v>
          </cell>
          <cell r="O170" t="str">
            <v>P1</v>
          </cell>
        </row>
        <row r="171">
          <cell r="A171">
            <v>170</v>
          </cell>
          <cell r="B171">
            <v>36383</v>
          </cell>
          <cell r="C171" t="str">
            <v>Hiraki</v>
          </cell>
          <cell r="D171" t="str">
            <v>U</v>
          </cell>
          <cell r="E171" t="str">
            <v>DR</v>
          </cell>
          <cell r="F171" t="str">
            <v>AW</v>
          </cell>
          <cell r="G171" t="str">
            <v>Inq</v>
          </cell>
          <cell r="H171" t="str">
            <v>M</v>
          </cell>
          <cell r="I171" t="str">
            <v>H</v>
          </cell>
          <cell r="J171" t="str">
            <v>Closed</v>
          </cell>
          <cell r="K171" t="str">
            <v>5c Discrepancy between Systematics and CSP: The Customer Balance of Euro is not equal to the figure in Systematics (Cash and Cash Equivalent). Systematics = 11,043.73, CSP = 11,043.78.</v>
          </cell>
          <cell r="L171" t="str">
            <v>Takeda 3.5.1, 3.5.2, 3.5.3, 3.5.4, 3.5.5.doc</v>
          </cell>
          <cell r="M171" t="str">
            <v>-</v>
          </cell>
          <cell r="N171" t="str">
            <v xml:space="preserve">12 Aug 99: All currencies except Euro are OK. 16 Aug 99: Would Veronica please help investigate [Aegidia]. 20 Aug 99: The amount in the feed did come as 11,043.78.  Would Veronica please help investigate [Aegidia]. 24 Aug 99: Discrepancy is 0.05 interest </v>
          </cell>
          <cell r="O171" t="str">
            <v>P1</v>
          </cell>
          <cell r="P171">
            <v>1.3</v>
          </cell>
        </row>
        <row r="172">
          <cell r="A172">
            <v>171</v>
          </cell>
          <cell r="B172">
            <v>36383</v>
          </cell>
          <cell r="C172" t="str">
            <v>Hiraki</v>
          </cell>
          <cell r="D172" t="str">
            <v>U</v>
          </cell>
          <cell r="E172" t="str">
            <v>NR</v>
          </cell>
          <cell r="F172" t="str">
            <v>PA</v>
          </cell>
          <cell r="G172" t="str">
            <v>Inq</v>
          </cell>
          <cell r="H172" t="str">
            <v>L</v>
          </cell>
          <cell r="I172" t="str">
            <v>M</v>
          </cell>
          <cell r="J172" t="str">
            <v>Closed</v>
          </cell>
          <cell r="K172" t="str">
            <v>To search Portfolios, '*' is required; it would be useful to be able to search without this wildcard character.</v>
          </cell>
          <cell r="L172" t="str">
            <v>Takeda 3.5.1, 3.5.2, 3.5.3, 3.5.4, 3.5.5.doc</v>
          </cell>
          <cell r="M172" t="str">
            <v>-</v>
          </cell>
          <cell r="N172" t="str">
            <v xml:space="preserve">16 Aug 99: (a) Accounts 0/305802/018, 0/305802/034, 0/305802/107 were in present in the London SBOS feed. Would Andrew please find out if they are closed? (b) Accounts 0/305802/026, 0/305802/077 and 0/305802/93 were linked to an invalid portfolio (either </v>
          </cell>
          <cell r="O172" t="str">
            <v>P1</v>
          </cell>
          <cell r="P172">
            <v>1.3</v>
          </cell>
        </row>
        <row r="173">
          <cell r="A173">
            <v>172</v>
          </cell>
          <cell r="B173">
            <v>36383</v>
          </cell>
          <cell r="C173" t="str">
            <v>Hiraki</v>
          </cell>
          <cell r="D173" t="str">
            <v>U</v>
          </cell>
          <cell r="E173" t="str">
            <v>UT</v>
          </cell>
          <cell r="F173" t="str">
            <v>PA</v>
          </cell>
          <cell r="G173" t="str">
            <v>Inq</v>
          </cell>
          <cell r="H173" t="str">
            <v>M</v>
          </cell>
          <cell r="I173" t="str">
            <v>H</v>
          </cell>
          <cell r="J173" t="str">
            <v>Closed</v>
          </cell>
          <cell r="K173" t="str">
            <v>Intermittent success of the search results: We could not search A/C details without entering A/C location (as expected). However, when we enter A/C number and hitting Enter key with leaving the Location field blank, a message "Request Code is not Availabl</v>
          </cell>
          <cell r="L173" t="str">
            <v>Takeda 3.5.1, 3.5.2, 3.5.3, 3.5.4, 3.5.5.doc</v>
          </cell>
          <cell r="M173" t="str">
            <v>-</v>
          </cell>
          <cell r="N173" t="str">
            <v>2 Sept 99: Changed from CT to UT; location should be entered [Keith]</v>
          </cell>
          <cell r="O173" t="str">
            <v>P1</v>
          </cell>
          <cell r="P173">
            <v>1.2</v>
          </cell>
        </row>
        <row r="174">
          <cell r="A174">
            <v>173</v>
          </cell>
          <cell r="B174">
            <v>36383</v>
          </cell>
          <cell r="C174" t="str">
            <v>Hiraki</v>
          </cell>
          <cell r="D174" t="str">
            <v>U</v>
          </cell>
          <cell r="E174" t="str">
            <v>UT</v>
          </cell>
          <cell r="F174" t="str">
            <v>PA</v>
          </cell>
          <cell r="G174" t="str">
            <v>Inq</v>
          </cell>
          <cell r="H174" t="str">
            <v>L</v>
          </cell>
          <cell r="I174" t="str">
            <v>M</v>
          </cell>
          <cell r="J174" t="str">
            <v>Closed</v>
          </cell>
          <cell r="K174" t="str">
            <v>[See 163, 353] Mouse Over: Having performed a Relationship search, some names are being truncated in the results screen. For example, "Suzuki, Ichiro; Suzuki, Takako" is being displayed as "Suzuki, Ichiro;".</v>
          </cell>
          <cell r="L174" t="str">
            <v>4.2.2.doc</v>
          </cell>
          <cell r="M174" t="str">
            <v>-</v>
          </cell>
          <cell r="N174" t="str">
            <v>11 Aug 99: Mouse over shows the whole name.</v>
          </cell>
          <cell r="O174" t="str">
            <v>P1</v>
          </cell>
          <cell r="P174">
            <v>1.3</v>
          </cell>
        </row>
        <row r="175">
          <cell r="A175">
            <v>174</v>
          </cell>
          <cell r="B175">
            <v>36383</v>
          </cell>
          <cell r="C175" t="str">
            <v>Andrew</v>
          </cell>
          <cell r="D175" t="str">
            <v>U</v>
          </cell>
          <cell r="E175" t="str">
            <v>CT</v>
          </cell>
          <cell r="F175" t="str">
            <v>SC</v>
          </cell>
          <cell r="G175" t="str">
            <v>Inq</v>
          </cell>
          <cell r="H175" t="str">
            <v>M</v>
          </cell>
          <cell r="I175" t="str">
            <v>H</v>
          </cell>
          <cell r="J175" t="str">
            <v>Closed</v>
          </cell>
          <cell r="K175" t="str">
            <v>There are 2 ‘Total Market Value for (BM) in Ref Ccy (SGD). Both should be listed together in Equities screen.</v>
          </cell>
          <cell r="L175" t="str">
            <v>-</v>
          </cell>
          <cell r="M175" t="str">
            <v>Incidents 11Aug99\Andrew\Aug 11.doc</v>
          </cell>
          <cell r="N175" t="str">
            <v>16 Aug 99: Verified by Andrew in v1.2.</v>
          </cell>
          <cell r="O175" t="str">
            <v>P1</v>
          </cell>
          <cell r="P175">
            <v>1.2</v>
          </cell>
        </row>
        <row r="176">
          <cell r="A176">
            <v>175</v>
          </cell>
          <cell r="B176">
            <v>36383</v>
          </cell>
          <cell r="C176" t="str">
            <v>Iida</v>
          </cell>
          <cell r="D176" t="str">
            <v>U</v>
          </cell>
          <cell r="E176" t="str">
            <v>CT</v>
          </cell>
          <cell r="F176" t="str">
            <v>SC</v>
          </cell>
          <cell r="G176" t="str">
            <v>EG</v>
          </cell>
          <cell r="H176" t="str">
            <v>L</v>
          </cell>
          <cell r="I176" t="str">
            <v>M</v>
          </cell>
          <cell r="J176" t="str">
            <v>Closed</v>
          </cell>
          <cell r="K176" t="str">
            <v>In the LEG Overview screen, what does null mean under Location column?</v>
          </cell>
          <cell r="L176" t="str">
            <v>-</v>
          </cell>
          <cell r="M176" t="str">
            <v>Incidents 11Aug99\Iida\null.doc</v>
          </cell>
          <cell r="N176" t="str">
            <v>23 Aug 99: Fixed in v1.3 [Sandeep]. 25 Aug 99: Verified fix [Iida]</v>
          </cell>
          <cell r="O176" t="str">
            <v>P1</v>
          </cell>
          <cell r="P176">
            <v>1.3</v>
          </cell>
        </row>
        <row r="177">
          <cell r="A177">
            <v>176</v>
          </cell>
          <cell r="B177">
            <v>36383</v>
          </cell>
          <cell r="C177" t="str">
            <v>Iida</v>
          </cell>
          <cell r="D177" t="str">
            <v>U</v>
          </cell>
          <cell r="E177" t="str">
            <v>CT</v>
          </cell>
          <cell r="F177" t="str">
            <v>SC</v>
          </cell>
          <cell r="G177" t="str">
            <v>Inq</v>
          </cell>
          <cell r="H177" t="str">
            <v>M</v>
          </cell>
          <cell r="I177" t="str">
            <v>H</v>
          </cell>
          <cell r="J177" t="str">
            <v>Closed</v>
          </cell>
          <cell r="K177" t="str">
            <v>The Member Search results screen has empty relationships under the “Relationship” column.</v>
          </cell>
          <cell r="L177" t="str">
            <v>-</v>
          </cell>
          <cell r="M177" t="str">
            <v>Incidents 11Aug99\Iida\Blanc.doc</v>
          </cell>
          <cell r="N177" t="str">
            <v>12 Aug 99: Relationships with Japanese characters are not appearing on screen. 23 Aug 99: Fixed in v1.3 [Sandeep]. 25 Aug 99: Verified fix [Iida]</v>
          </cell>
          <cell r="O177" t="str">
            <v>P1</v>
          </cell>
          <cell r="P177">
            <v>1.3</v>
          </cell>
        </row>
        <row r="178">
          <cell r="A178">
            <v>177</v>
          </cell>
          <cell r="B178">
            <v>36383</v>
          </cell>
          <cell r="C178" t="str">
            <v>Andrew</v>
          </cell>
          <cell r="D178" t="str">
            <v>U</v>
          </cell>
          <cell r="E178" t="str">
            <v>DR</v>
          </cell>
          <cell r="F178" t="str">
            <v>AW</v>
          </cell>
          <cell r="G178" t="str">
            <v>Inq</v>
          </cell>
          <cell r="H178" t="str">
            <v>S</v>
          </cell>
          <cell r="I178" t="str">
            <v>H</v>
          </cell>
          <cell r="J178" t="str">
            <v>Closed</v>
          </cell>
          <cell r="K178" t="str">
            <v>The following accounts are not found in CSP :
A/C No. A/c Title Ccy As Of Ledger Balance
0/305802/018 Call Account GBP GBP 26 Nov 96 0.00
0/305802/026 Rental Income A/C GBP GBP 31 May 99 732.92
0/305802/034 Sinking Fund A/C GBP GBP 19 Oct 95 0.00
0/305802</v>
          </cell>
          <cell r="L178" t="str">
            <v>-</v>
          </cell>
          <cell r="M178" t="str">
            <v>Incidents 11Aug99\Andrew\Aug 11 (pm).doc</v>
          </cell>
          <cell r="N178" t="str">
            <v>16 Aug 99: London SBOS - CSP reported that portfolio 7/305802/004 has one margin loans account 2/305802/029. However, this account was not in APLONSB07H sent last Friday (thereby rendering it closed?). The only loan account linked to this portfolio in the</v>
          </cell>
          <cell r="O178" t="str">
            <v>P1</v>
          </cell>
          <cell r="P178">
            <v>1.3</v>
          </cell>
        </row>
        <row r="179">
          <cell r="A179">
            <v>178</v>
          </cell>
          <cell r="B179">
            <v>36383</v>
          </cell>
          <cell r="C179" t="str">
            <v>Andrew</v>
          </cell>
          <cell r="D179" t="str">
            <v>U</v>
          </cell>
          <cell r="E179" t="str">
            <v>CT</v>
          </cell>
          <cell r="F179" t="str">
            <v>SC</v>
          </cell>
          <cell r="G179" t="str">
            <v>Inq</v>
          </cell>
          <cell r="H179" t="str">
            <v>S</v>
          </cell>
          <cell r="I179" t="str">
            <v>H</v>
          </cell>
          <cell r="J179" t="str">
            <v>Closed</v>
          </cell>
          <cell r="K179" t="str">
            <v>When I clicked on 7/306243/025 from “Location Details”, I get the error message: “Error !! Please Contact Technology with this key : Inq000102865119990811080101. The Error Message jis “Asset Class Information Not available for Portfolio”. This is wrong as</v>
          </cell>
          <cell r="L179" t="str">
            <v>-</v>
          </cell>
          <cell r="M179" t="str">
            <v>Incidents 11Aug99\Andrew\Aug 11 (pm).doc</v>
          </cell>
          <cell r="N179" t="str">
            <v>23 Aug 99: Fixed in v1.3 [Sandeep]. Verified fix in v1.3 [Andrew].</v>
          </cell>
          <cell r="O179" t="str">
            <v>P1</v>
          </cell>
          <cell r="P179">
            <v>1.3</v>
          </cell>
        </row>
        <row r="180">
          <cell r="A180">
            <v>179</v>
          </cell>
          <cell r="B180">
            <v>36384</v>
          </cell>
          <cell r="C180" t="str">
            <v>Iida</v>
          </cell>
          <cell r="D180" t="str">
            <v>U</v>
          </cell>
          <cell r="E180" t="str">
            <v>NR</v>
          </cell>
          <cell r="F180" t="str">
            <v>PA</v>
          </cell>
          <cell r="G180" t="str">
            <v>Inq</v>
          </cell>
          <cell r="H180" t="str">
            <v>L</v>
          </cell>
          <cell r="I180" t="str">
            <v>M</v>
          </cell>
          <cell r="J180" t="str">
            <v>Auth</v>
          </cell>
          <cell r="K180" t="str">
            <v>When searching by Member name, it would be useful to display the Lead Banker associated with the search results (in the Member Search Results screen).</v>
          </cell>
          <cell r="L180" t="str">
            <v>-</v>
          </cell>
          <cell r="M180" t="str">
            <v>Incidents 12Aug99\Iida\Search.doc</v>
          </cell>
          <cell r="N180" t="str">
            <v>27 Aug 99: OK for Phase 2 [Jacob].</v>
          </cell>
          <cell r="O180" t="str">
            <v>P2</v>
          </cell>
        </row>
        <row r="181">
          <cell r="A181">
            <v>180</v>
          </cell>
          <cell r="B181">
            <v>36383</v>
          </cell>
          <cell r="C181" t="str">
            <v>Helen</v>
          </cell>
          <cell r="D181" t="str">
            <v>U</v>
          </cell>
          <cell r="E181" t="str">
            <v>UT</v>
          </cell>
          <cell r="F181" t="str">
            <v>PA</v>
          </cell>
          <cell r="G181" t="str">
            <v>Inq</v>
          </cell>
          <cell r="H181" t="str">
            <v>L</v>
          </cell>
          <cell r="I181" t="str">
            <v>L</v>
          </cell>
          <cell r="J181" t="str">
            <v>Closed</v>
          </cell>
          <cell r="K181" t="str">
            <v>In the calendar widget, prefer to show the default month to be the current month instead of last month.</v>
          </cell>
          <cell r="L181" t="str">
            <v>-</v>
          </cell>
          <cell r="M181" t="str">
            <v>Incidents 11Aug99\Helen\11Aug99-cycle 1.doc</v>
          </cell>
          <cell r="O181" t="str">
            <v>P1</v>
          </cell>
          <cell r="P181">
            <v>1.3</v>
          </cell>
        </row>
        <row r="182">
          <cell r="A182">
            <v>181</v>
          </cell>
          <cell r="B182">
            <v>36383</v>
          </cell>
          <cell r="C182" t="str">
            <v>Miranda</v>
          </cell>
          <cell r="D182" t="str">
            <v>U</v>
          </cell>
          <cell r="E182" t="str">
            <v>CT</v>
          </cell>
          <cell r="F182" t="str">
            <v>SC</v>
          </cell>
          <cell r="G182" t="str">
            <v>EG</v>
          </cell>
          <cell r="H182" t="str">
            <v>M</v>
          </cell>
          <cell r="I182" t="str">
            <v>H</v>
          </cell>
          <cell r="J182" t="str">
            <v>Closed</v>
          </cell>
          <cell r="K182" t="str">
            <v>In the EG Setup screen (under the free text field), it is not possible to change the text.</v>
          </cell>
          <cell r="L182" t="str">
            <v>-</v>
          </cell>
          <cell r="M182" t="str">
            <v>..\SCREEN SHOTS\Incidents 26 Aug\Miranda\CSP UAT Incidents on Aug. 24 - MC.doc</v>
          </cell>
          <cell r="N182" t="str">
            <v>23 Aug 99: Fixed in v1.3 [Sandeep]. 24 Aug 99: Miranda to re-test [Sam] 26 Aug 99: Re-test failed Miranda. 30 Aug 99: Fix verified in v 1.4 [Miranda].</v>
          </cell>
          <cell r="O182" t="str">
            <v>P1</v>
          </cell>
          <cell r="P182">
            <v>1.4</v>
          </cell>
        </row>
        <row r="183">
          <cell r="A183">
            <v>182</v>
          </cell>
          <cell r="B183">
            <v>36383</v>
          </cell>
          <cell r="C183" t="str">
            <v>Miranda</v>
          </cell>
          <cell r="D183" t="str">
            <v>U</v>
          </cell>
          <cell r="E183" t="str">
            <v>CT</v>
          </cell>
          <cell r="F183" t="str">
            <v>SC</v>
          </cell>
          <cell r="G183" t="str">
            <v>EG</v>
          </cell>
          <cell r="H183" t="str">
            <v>M</v>
          </cell>
          <cell r="I183" t="str">
            <v>H</v>
          </cell>
          <cell r="J183" t="str">
            <v>Closed</v>
          </cell>
          <cell r="K183" t="str">
            <v>The “An Error Has Occurred . Support key EG00010092871999081117:38:22” message is displayed on clicking the name of the member under the search list at EG setup.</v>
          </cell>
          <cell r="L183" t="str">
            <v>-</v>
          </cell>
          <cell r="M183" t="str">
            <v>Incidents 11Aug99\Miranda\CSP UAT Incidents on Aug. 11 - MC.doc</v>
          </cell>
          <cell r="N183" t="str">
            <v>23 Aug 99: Fixed in v1.3 [Sandeep]. 24 Aug 99: Miranda to re-test [Sam] 26 Aug 99: Verified by Miranda</v>
          </cell>
          <cell r="O183" t="str">
            <v>P1</v>
          </cell>
          <cell r="P183">
            <v>1.3</v>
          </cell>
        </row>
        <row r="184">
          <cell r="A184">
            <v>183</v>
          </cell>
          <cell r="B184">
            <v>36383</v>
          </cell>
          <cell r="C184" t="str">
            <v>Miranda</v>
          </cell>
          <cell r="D184" t="str">
            <v>U</v>
          </cell>
          <cell r="E184" t="str">
            <v>CT</v>
          </cell>
          <cell r="F184" t="str">
            <v>SC</v>
          </cell>
          <cell r="G184" t="str">
            <v>EG</v>
          </cell>
          <cell r="H184" t="str">
            <v>S</v>
          </cell>
          <cell r="I184" t="str">
            <v>H</v>
          </cell>
          <cell r="J184" t="str">
            <v>Closed</v>
          </cell>
          <cell r="K184" t="str">
            <v>A total of 4 GEGs are setup and linked up with one Singapore account. Two of these disappeared after searching the view unlinked account.</v>
          </cell>
          <cell r="L184" t="str">
            <v>-</v>
          </cell>
          <cell r="M184" t="str">
            <v>Incidents 11Aug99\Miranda\CSP UAT Incidents on Aug. 11 - MC.doc</v>
          </cell>
          <cell r="N184" t="str">
            <v>Further investigation required. 23 Aug 99: Fixed in v1.3 [Sandeep]. 24 Aug 99: Miranda to re-test [Sam] 26 Aug 99: Verified by Miranda.</v>
          </cell>
          <cell r="O184" t="str">
            <v>P1</v>
          </cell>
          <cell r="P184">
            <v>1.3</v>
          </cell>
        </row>
        <row r="185">
          <cell r="A185">
            <v>184</v>
          </cell>
          <cell r="B185">
            <v>36383</v>
          </cell>
          <cell r="C185" t="str">
            <v>Miranda</v>
          </cell>
          <cell r="D185" t="str">
            <v>U</v>
          </cell>
          <cell r="E185" t="str">
            <v>CT</v>
          </cell>
          <cell r="F185" t="str">
            <v>SC</v>
          </cell>
          <cell r="G185" t="str">
            <v>EG</v>
          </cell>
          <cell r="H185" t="str">
            <v>M</v>
          </cell>
          <cell r="I185" t="str">
            <v>H</v>
          </cell>
          <cell r="J185" t="str">
            <v>Closed</v>
          </cell>
          <cell r="K185" t="str">
            <v>The full name is not always displayed under the “Members” field in “Define GEG Roles”.</v>
          </cell>
          <cell r="L185" t="str">
            <v>-</v>
          </cell>
          <cell r="M185" t="str">
            <v>Incidents 11Aug99\Miranda\CSP UAT Incidents on Aug. 11 - MC.doc</v>
          </cell>
          <cell r="N185" t="str">
            <v>24 Aug 99: Changed to CT and very high priority; Miranda to explain [Sam]. 27 Aug 99: Closed [Sam].</v>
          </cell>
          <cell r="O185" t="str">
            <v>P1</v>
          </cell>
        </row>
        <row r="186">
          <cell r="A186">
            <v>185</v>
          </cell>
          <cell r="B186">
            <v>36383</v>
          </cell>
          <cell r="C186" t="str">
            <v>Miranda</v>
          </cell>
          <cell r="D186" t="str">
            <v>U</v>
          </cell>
          <cell r="E186" t="str">
            <v>UT</v>
          </cell>
          <cell r="F186" t="str">
            <v>PA</v>
          </cell>
          <cell r="G186" t="str">
            <v>EG</v>
          </cell>
          <cell r="H186" t="str">
            <v>L</v>
          </cell>
          <cell r="I186" t="str">
            <v>M</v>
          </cell>
          <cell r="J186" t="str">
            <v>Closed</v>
          </cell>
          <cell r="K186" t="str">
            <v>The role details for the members are not fully displayed at Approval Batch Overview and Member Overview level.</v>
          </cell>
          <cell r="L186" t="str">
            <v>-</v>
          </cell>
          <cell r="M186" t="str">
            <v>..\SCREEN SHOTS\Incidents 26 Aug\Miranda\CSP UAT Incidents on Aug. 24 - MC.doc</v>
          </cell>
          <cell r="N186" t="str">
            <v>23 Aug 99: Fixed in v1.3 [Sandeep]. 24 Aug 99: Miranda to re-test [Sam] 26 Aug 99: Re-test failed Miranda. 4 Sep 99: Verification failed in v1.5 [Miranda]. 07 Sept 99: Verified fix [Miranda].</v>
          </cell>
          <cell r="O186" t="str">
            <v>P1</v>
          </cell>
          <cell r="P186">
            <v>1.4</v>
          </cell>
        </row>
        <row r="187">
          <cell r="A187">
            <v>186</v>
          </cell>
          <cell r="B187">
            <v>36384</v>
          </cell>
          <cell r="C187" t="str">
            <v>Toda</v>
          </cell>
          <cell r="D187" t="str">
            <v>U</v>
          </cell>
          <cell r="E187" t="str">
            <v>UT</v>
          </cell>
          <cell r="F187" t="str">
            <v>PA</v>
          </cell>
          <cell r="G187" t="str">
            <v>EG</v>
          </cell>
          <cell r="H187" t="str">
            <v>M</v>
          </cell>
          <cell r="I187" t="str">
            <v>H</v>
          </cell>
          <cell r="J187" t="str">
            <v>Closed</v>
          </cell>
          <cell r="K187" t="str">
            <v>Back Button: From the GEG Overview screen, select "Delete GEG" option and then click Back. Expecting a deletion confirmation message. Instead, got "Authorised LEG already exists; cannot close this Entitlement".</v>
          </cell>
          <cell r="L187" t="str">
            <v>Aoki 4.2.2, 4.3.2.doc</v>
          </cell>
          <cell r="M187" t="str">
            <v>-</v>
          </cell>
          <cell r="O187" t="str">
            <v>P1</v>
          </cell>
          <cell r="P187">
            <v>1.3</v>
          </cell>
        </row>
        <row r="188">
          <cell r="A188">
            <v>187</v>
          </cell>
          <cell r="B188">
            <v>36384</v>
          </cell>
          <cell r="C188" t="str">
            <v>Toda</v>
          </cell>
          <cell r="D188" t="str">
            <v>U</v>
          </cell>
          <cell r="E188" t="str">
            <v>NR</v>
          </cell>
          <cell r="F188" t="str">
            <v>PA</v>
          </cell>
          <cell r="G188" t="str">
            <v>Inq</v>
          </cell>
          <cell r="H188" t="str">
            <v>L</v>
          </cell>
          <cell r="I188" t="str">
            <v>M</v>
          </cell>
          <cell r="J188" t="str">
            <v>Auth</v>
          </cell>
          <cell r="K188" t="str">
            <v xml:space="preserve">From Home screen, search for accounts details on “AOKI, Mitsuko”. From “EG Setup”, enter “AOKI, Mitsuko” in the “Create/Update”. Since, currently, we are allowed to search only from relationship head. So, it is better to change it to (a) search available </v>
          </cell>
          <cell r="L188" t="str">
            <v>-</v>
          </cell>
          <cell r="M188" t="str">
            <v>Incidents 12Aug99\Toda\T70-Aoki Mitsuko EG search.doc</v>
          </cell>
          <cell r="N188" t="str">
            <v xml:space="preserve">27 Aug 99: OK for Phase 2 [Jacob]. </v>
          </cell>
          <cell r="O188" t="str">
            <v>P2</v>
          </cell>
        </row>
        <row r="189">
          <cell r="A189">
            <v>188</v>
          </cell>
          <cell r="B189">
            <v>36384</v>
          </cell>
          <cell r="C189" t="str">
            <v>Andrew</v>
          </cell>
          <cell r="D189" t="str">
            <v>U</v>
          </cell>
          <cell r="E189" t="str">
            <v>NR</v>
          </cell>
          <cell r="F189" t="str">
            <v>PA</v>
          </cell>
          <cell r="G189" t="str">
            <v>Inq</v>
          </cell>
          <cell r="H189" t="str">
            <v>X</v>
          </cell>
          <cell r="I189" t="str">
            <v>X</v>
          </cell>
          <cell r="J189" t="str">
            <v>Dup</v>
          </cell>
          <cell r="K189" t="str">
            <v>[See 121, 189, 190] The first transaction in SBOS is Customer Sold AUD and Bought USD. However, in CSP the Header of the columns do not clearly state the position (Bank’s or Customer’s positions). Either, we change the Header of the columns to ‘Bank Buy C</v>
          </cell>
          <cell r="L189" t="str">
            <v>-</v>
          </cell>
          <cell r="M189" t="str">
            <v>Incidents 12Aug99\Andrew\Aug 12 (am).doc</v>
          </cell>
          <cell r="N189" t="str">
            <v>Duplicate of 121.</v>
          </cell>
          <cell r="O189" t="str">
            <v>P1</v>
          </cell>
        </row>
        <row r="190">
          <cell r="A190">
            <v>189</v>
          </cell>
          <cell r="B190">
            <v>36384</v>
          </cell>
          <cell r="C190" t="str">
            <v>Andrew</v>
          </cell>
          <cell r="D190" t="str">
            <v>U</v>
          </cell>
          <cell r="E190" t="str">
            <v>DR</v>
          </cell>
          <cell r="F190" t="str">
            <v>AW</v>
          </cell>
          <cell r="G190" t="str">
            <v>Inq</v>
          </cell>
          <cell r="H190" t="str">
            <v>M</v>
          </cell>
          <cell r="I190" t="str">
            <v>H</v>
          </cell>
          <cell r="J190" t="str">
            <v>Closed</v>
          </cell>
          <cell r="K190" t="str">
            <v>[See 121, 188, 190] In addition to Incident 188, the deal rate is different from SBOS. In SBOS, the rate is 1.4958. In CSP, it is 0.6685 which is 1/1.4958. Thus, please investigate further or the mapping. 31 Aug 99: The Deal Rate in CSP for reference 1991</v>
          </cell>
          <cell r="L190" t="str">
            <v>-</v>
          </cell>
          <cell r="M190" t="str">
            <v>..\SCREEN SHOTS\Incidents 31 Aug\Andrew\Aug 31 (pm).doc</v>
          </cell>
          <cell r="N190" t="str">
            <v xml:space="preserve">21 Aug 99: Fixed in 8 Aug feed; ready for retest in Cycle 3 [Aegidia] 24 Aug 99: Andrew to re-test [Sam] 25 Aug 99: Re-raised by Andrew 26 Aug 99: Manish, the FX contract in question expired on 8 July and was not passed in the day's feed. However, Andrew </v>
          </cell>
          <cell r="O190" t="str">
            <v>P1</v>
          </cell>
          <cell r="P190">
            <v>1.3</v>
          </cell>
        </row>
        <row r="191">
          <cell r="A191">
            <v>190</v>
          </cell>
          <cell r="B191">
            <v>36384</v>
          </cell>
          <cell r="C191" t="str">
            <v>Andrew</v>
          </cell>
          <cell r="D191" t="str">
            <v>U</v>
          </cell>
          <cell r="E191" t="str">
            <v>CT</v>
          </cell>
          <cell r="F191" t="str">
            <v>SC</v>
          </cell>
          <cell r="G191" t="str">
            <v>Inq</v>
          </cell>
          <cell r="H191" t="str">
            <v>X</v>
          </cell>
          <cell r="I191" t="str">
            <v>X</v>
          </cell>
          <cell r="J191" t="str">
            <v>Dup</v>
          </cell>
          <cell r="K191" t="str">
            <v>[See 121, 188, 189] In addition to Incidents 188 and 189, in SBOS, the 2nd transaction does not exist.</v>
          </cell>
          <cell r="L191" t="str">
            <v>-</v>
          </cell>
          <cell r="M191" t="str">
            <v>Incidents 12Aug99\Andrew\Aug 12 (am).doc</v>
          </cell>
          <cell r="N191" t="str">
            <v>Further investigation required. 24 Aug 99: Changed to CT and priority "X"; CSP reporting 2 transactions and there should be 1 as verified by checking SBOS [Sam].</v>
          </cell>
          <cell r="O191" t="str">
            <v>P1</v>
          </cell>
          <cell r="P191">
            <v>1.3</v>
          </cell>
        </row>
        <row r="192">
          <cell r="A192">
            <v>191</v>
          </cell>
          <cell r="B192">
            <v>36384</v>
          </cell>
          <cell r="C192" t="str">
            <v>Andrew</v>
          </cell>
          <cell r="D192" t="str">
            <v>U</v>
          </cell>
          <cell r="E192" t="str">
            <v>UT</v>
          </cell>
          <cell r="F192" t="str">
            <v>PA</v>
          </cell>
          <cell r="G192" t="str">
            <v>Inq</v>
          </cell>
          <cell r="H192" t="str">
            <v>L</v>
          </cell>
          <cell r="I192" t="str">
            <v>M</v>
          </cell>
          <cell r="J192" t="str">
            <v>Closed</v>
          </cell>
          <cell r="K192" t="str">
            <v xml:space="preserve">Why is the description of the accounts the same as the base number? It should read as ‘Current Account’ per SBOS title.
Eg. 889494 in a/c no. 0/889494/018 under Current Account.
</v>
          </cell>
          <cell r="L192" t="str">
            <v>-</v>
          </cell>
          <cell r="M192" t="str">
            <v>Incidents 12Aug99\Andrew\Aug 12 (am).doc</v>
          </cell>
          <cell r="N192" t="str">
            <v xml:space="preserve">12 Aug 99: Name/description fields in the MB Asia UAT environment are masked, so are the feeds. So we will see client name = base number; portfolio title = portfolio number and account description = account number [Helen]. Further investigation required. </v>
          </cell>
          <cell r="O192" t="str">
            <v>P1</v>
          </cell>
          <cell r="P192">
            <v>1.3</v>
          </cell>
        </row>
        <row r="193">
          <cell r="A193">
            <v>192</v>
          </cell>
          <cell r="B193">
            <v>36384</v>
          </cell>
          <cell r="C193" t="str">
            <v>Andrew</v>
          </cell>
          <cell r="D193" t="str">
            <v>U</v>
          </cell>
          <cell r="E193" t="str">
            <v>DR</v>
          </cell>
          <cell r="F193" t="str">
            <v>AW</v>
          </cell>
          <cell r="G193" t="str">
            <v>Inq</v>
          </cell>
          <cell r="H193" t="str">
            <v>M</v>
          </cell>
          <cell r="I193" t="str">
            <v>H</v>
          </cell>
          <cell r="J193" t="str">
            <v>Closed</v>
          </cell>
          <cell r="K193" t="str">
            <v>In the Equities screen, the ‘Market Value’ is wrong. It should be the Number of Shares x Market Price. Instead, it is presently the same as the number of shares. This incident also applies to GEG with base 306106 and 306107.</v>
          </cell>
          <cell r="L193" t="str">
            <v>-</v>
          </cell>
          <cell r="M193" t="str">
            <v>Incidents 12Aug99\Andrew\Aug 12 (am).doc</v>
          </cell>
          <cell r="N193" t="str">
            <v>20 Aug 99: Changed from CT to DR [Sandeep]. 21 Aug 99: Fixed in 8 Aug feed; ready for retest in Cycle 3 [Aegidia] 24 Aug 99: Re-raised by Andrew [Sam] 30 Aug 99: Reported fixed [Aegidia]. 31 Aug 99: Verified by Andrew in v1.4.</v>
          </cell>
          <cell r="O193" t="str">
            <v>P1</v>
          </cell>
          <cell r="P193">
            <v>1.4</v>
          </cell>
        </row>
        <row r="194">
          <cell r="A194">
            <v>193</v>
          </cell>
          <cell r="B194">
            <v>36384</v>
          </cell>
          <cell r="C194" t="str">
            <v>Andrew</v>
          </cell>
          <cell r="D194" t="str">
            <v>U</v>
          </cell>
          <cell r="E194" t="str">
            <v>DR</v>
          </cell>
          <cell r="F194" t="str">
            <v>AW</v>
          </cell>
          <cell r="G194" t="str">
            <v>Inq</v>
          </cell>
          <cell r="H194" t="str">
            <v>M</v>
          </cell>
          <cell r="I194" t="str">
            <v>H</v>
          </cell>
          <cell r="J194" t="str">
            <v>Auth</v>
          </cell>
          <cell r="K194" t="str">
            <v>In the Equities screen, the ‘Market Price’ is also different from SBOS. In SBOS, it is 47.437 for ‘Aflac’ and 40.687 for ‘McDonalds’. This incident also applies to GEG with base 306106 and 306107.</v>
          </cell>
          <cell r="L194" t="str">
            <v>-</v>
          </cell>
          <cell r="M194" t="str">
            <v>Incidents 12Aug99\Andrew\Aug 12 (am).doc</v>
          </cell>
          <cell r="N194" t="str">
            <v>18 Aug 99: The market price from the feed was as of 13 Aug whereas the ones used for verification were of 6 July. The difference was due to market fluctuation over time [Aegidia]. 24 Aug 99: Andrew to re-test, is it due to time difference? [Sam]</v>
          </cell>
          <cell r="O194" t="str">
            <v>P1</v>
          </cell>
        </row>
        <row r="195">
          <cell r="A195">
            <v>194</v>
          </cell>
          <cell r="B195">
            <v>36384</v>
          </cell>
          <cell r="C195" t="str">
            <v>Andrew</v>
          </cell>
          <cell r="D195" t="str">
            <v>U</v>
          </cell>
          <cell r="E195" t="str">
            <v>DR</v>
          </cell>
          <cell r="F195" t="str">
            <v>AW</v>
          </cell>
          <cell r="G195" t="str">
            <v>Inq</v>
          </cell>
          <cell r="H195" t="str">
            <v>S</v>
          </cell>
          <cell r="I195" t="str">
            <v>H</v>
          </cell>
          <cell r="J195" t="str">
            <v>Closed</v>
          </cell>
          <cell r="K195" t="str">
            <v>The following accounts (or maybe the whole portfolio) are missing in CSP.
Account no. A/C Title Ccy As Of Ledger Balance
0/306105/027 Safekeeping Account JPY JPY 25 Jan 99 0
0/306105/035 Safekeeping Account NZD NZD 09 Aug 96 0.00
0/306105/019 Safekeepin</v>
          </cell>
          <cell r="L195" t="str">
            <v>-</v>
          </cell>
          <cell r="M195" t="str">
            <v>Incidents 12Aug99\Andrew\Aug 12 (am).doc</v>
          </cell>
          <cell r="N195" t="str">
            <v>16 Aug 99: London SBOS - The missing account numbers were present in the feed. Please check the data upload programs [Aegidia]. 16 Aug 99: (a) The accounts for 306106 and 306107 were present in the feed. (b) Those for 306402 were linked to an invalid port</v>
          </cell>
          <cell r="O195" t="str">
            <v>P1</v>
          </cell>
          <cell r="P195">
            <v>1.3</v>
          </cell>
        </row>
        <row r="196">
          <cell r="A196">
            <v>195</v>
          </cell>
          <cell r="B196">
            <v>36384</v>
          </cell>
          <cell r="C196" t="str">
            <v>Andrew</v>
          </cell>
          <cell r="D196" t="str">
            <v>U</v>
          </cell>
          <cell r="E196" t="str">
            <v>DR</v>
          </cell>
          <cell r="F196" t="str">
            <v>AW</v>
          </cell>
          <cell r="G196" t="str">
            <v>Inq</v>
          </cell>
          <cell r="H196" t="str">
            <v>M</v>
          </cell>
          <cell r="I196" t="str">
            <v>H</v>
          </cell>
          <cell r="J196" t="str">
            <v>Auth</v>
          </cell>
          <cell r="K196" t="str">
            <v>The ‘Market Price’ of the Corporate and Government Bonds are different from SBOS. The values in SBOS are 94.812, 90.625 and 107.891.</v>
          </cell>
          <cell r="L196" t="str">
            <v>-</v>
          </cell>
          <cell r="M196" t="str">
            <v>Incidents 12Aug99\Andrew\Aug 12 (am).doc</v>
          </cell>
          <cell r="N196" t="str">
            <v>18 Aug 99: The market price from the feed was as of 13 Aug whereas the ones used for verification were of 6 July. The difference was due to market fluctuation over time [Aegidia]. 24 Aug 99: Andrew to re-test, is it due to time difference? [Sam]</v>
          </cell>
          <cell r="O196" t="str">
            <v>P1</v>
          </cell>
        </row>
        <row r="197">
          <cell r="A197">
            <v>196</v>
          </cell>
          <cell r="B197">
            <v>36384</v>
          </cell>
          <cell r="C197" t="str">
            <v>Andrew</v>
          </cell>
          <cell r="D197" t="str">
            <v>U</v>
          </cell>
          <cell r="E197" t="str">
            <v>CT</v>
          </cell>
          <cell r="F197" t="str">
            <v>SC</v>
          </cell>
          <cell r="G197" t="str">
            <v>Inq</v>
          </cell>
          <cell r="H197" t="str">
            <v>M</v>
          </cell>
          <cell r="I197" t="str">
            <v>H</v>
          </cell>
          <cell r="J197" t="str">
            <v>Closed</v>
          </cell>
          <cell r="K197" t="str">
            <v>The ‘Cost Price’ of the 2nd Corporate Bonds (5 1/8% Notes Freddie Mac …) in SBOS is 98.453. Thus, we need to expand the decimal places in CSP to the same as SBOS.</v>
          </cell>
          <cell r="L197" t="str">
            <v>-</v>
          </cell>
          <cell r="M197" t="str">
            <v>Incidents 12Aug99\Andrew\Aug 12 (am).doc</v>
          </cell>
          <cell r="N197" t="str">
            <v>16 Aug 99: Changed from DR to CT as CSP is to increase precision [Aegidia]. 23 Aug 99: Fixed in v1.3 [Sandeep]. Verified fix in v1.3 [Andrew].</v>
          </cell>
          <cell r="O197" t="str">
            <v>P1</v>
          </cell>
          <cell r="P197">
            <v>1.3</v>
          </cell>
        </row>
        <row r="198">
          <cell r="A198">
            <v>197</v>
          </cell>
          <cell r="B198">
            <v>36384</v>
          </cell>
          <cell r="C198" t="str">
            <v>Andrew</v>
          </cell>
          <cell r="D198" t="str">
            <v>U</v>
          </cell>
          <cell r="E198" t="str">
            <v>DR</v>
          </cell>
          <cell r="F198" t="str">
            <v>AW</v>
          </cell>
          <cell r="G198" t="str">
            <v>Inq</v>
          </cell>
          <cell r="H198" t="str">
            <v>M</v>
          </cell>
          <cell r="I198" t="str">
            <v>H</v>
          </cell>
          <cell r="J198" t="str">
            <v>Closed</v>
          </cell>
          <cell r="K198" t="str">
            <v>In the “Corporate Bonds” screen, how is the ‘Principal Amount ‘ derived? If I take 2,000,000 x 93.98, the result is not 187,968,000.00. In fact, ‘Principal Amount’ should be changed to ‘Market Value’, to be in sync with the ‘Portfolio Overview’ screen. Th</v>
          </cell>
          <cell r="L198" t="str">
            <v>-</v>
          </cell>
          <cell r="M198" t="str">
            <v>Incidents 12Aug99\Andrew\Aug 12 (am).doc</v>
          </cell>
          <cell r="N198" t="str">
            <v>16 Aug 99: London SBOS - The numbers were correct in APLONSB09H. Please check the data upload programs [Aegidia]. 16 Aug 99: Data is correct, would Manish please investigate [Aegidia]. 16 Aug 99: Can you please check this up again and revert back incase t</v>
          </cell>
          <cell r="O198" t="str">
            <v>P1</v>
          </cell>
          <cell r="P198">
            <v>1.4</v>
          </cell>
        </row>
        <row r="199">
          <cell r="A199">
            <v>198</v>
          </cell>
          <cell r="B199">
            <v>36384</v>
          </cell>
          <cell r="C199" t="str">
            <v>Andrew</v>
          </cell>
          <cell r="D199" t="str">
            <v>U</v>
          </cell>
          <cell r="E199" t="str">
            <v>DR</v>
          </cell>
          <cell r="F199" t="str">
            <v>AW</v>
          </cell>
          <cell r="G199" t="str">
            <v>Inq</v>
          </cell>
          <cell r="H199" t="str">
            <v>M</v>
          </cell>
          <cell r="I199" t="str">
            <v>H</v>
          </cell>
          <cell r="J199" t="str">
            <v>Closed</v>
          </cell>
          <cell r="K199" t="str">
            <v>In the Corporate Bonds screen, issue country should be in characters, not numbers.</v>
          </cell>
          <cell r="L199" t="str">
            <v>-</v>
          </cell>
          <cell r="M199" t="str">
            <v>Incidents 12Aug99\Andrew\Aug 12 (am).doc</v>
          </cell>
          <cell r="N199" t="str">
            <v>16 Aug 99: London SBOS - Issuing country were in ISO two character country code in APLONSB09H. Please check the data upload programs [Aegidia]. Manish to investigate. Can you please check this up again and revert back incase the issue still persists [Mani</v>
          </cell>
          <cell r="O199" t="str">
            <v>P1</v>
          </cell>
          <cell r="P199">
            <v>1.3</v>
          </cell>
        </row>
        <row r="200">
          <cell r="A200">
            <v>199</v>
          </cell>
          <cell r="B200">
            <v>36384</v>
          </cell>
          <cell r="C200" t="str">
            <v>Andrew</v>
          </cell>
          <cell r="D200" t="str">
            <v>U</v>
          </cell>
          <cell r="E200" t="str">
            <v>DR</v>
          </cell>
          <cell r="F200" t="str">
            <v>AW</v>
          </cell>
          <cell r="G200" t="str">
            <v>Inq</v>
          </cell>
          <cell r="H200" t="str">
            <v>S</v>
          </cell>
          <cell r="I200" t="str">
            <v>H</v>
          </cell>
          <cell r="J200" t="str">
            <v>Closed</v>
          </cell>
          <cell r="K200" t="str">
            <v>In the “Other Funds” screen, the ‘Market Price’ is different from SBOS (1688.07).</v>
          </cell>
          <cell r="L200" t="str">
            <v>-</v>
          </cell>
          <cell r="M200" t="str">
            <v>Incidents 12Aug99\Andrew\Aug 12 (am).doc</v>
          </cell>
          <cell r="N200" t="str">
            <v>16 Aug 99: The as of date of the market price in CSP (27 Jul) was different from that used by the user (6 July) [Aegidia]. 16 Aug 99: Verified by Andrew in v1.2.</v>
          </cell>
          <cell r="O200" t="str">
            <v>P1</v>
          </cell>
          <cell r="P200">
            <v>1.2</v>
          </cell>
        </row>
        <row r="201">
          <cell r="A201">
            <v>200</v>
          </cell>
          <cell r="B201">
            <v>36384</v>
          </cell>
          <cell r="C201" t="str">
            <v>Andrew</v>
          </cell>
          <cell r="D201" t="str">
            <v>U</v>
          </cell>
          <cell r="E201" t="str">
            <v>DR</v>
          </cell>
          <cell r="F201" t="str">
            <v>AW</v>
          </cell>
          <cell r="G201" t="str">
            <v>Inq</v>
          </cell>
          <cell r="H201" t="str">
            <v>M</v>
          </cell>
          <cell r="I201" t="str">
            <v>H</v>
          </cell>
          <cell r="J201" t="str">
            <v>Closed</v>
          </cell>
          <cell r="K201" t="str">
            <v>When I clicked on the 2nd portfolio (7/3061058/012), the bottom screen appears. The accounts that are in this portfolio (and missing in CSP) should be as follows:
Account No. A/c Title Ccy As Of Ledger Balance
0/306108/026 Safekeeping Account Jpy JPY 09 A</v>
          </cell>
          <cell r="L201" t="str">
            <v>-</v>
          </cell>
          <cell r="M201" t="str">
            <v>Incidents 12Aug99\Andrew\Aug 12 (am).doc</v>
          </cell>
          <cell r="N201" t="str">
            <v>16 Aug 99: London SBOS - Similar to 177. Manish to investigate [Aegidia]. Can you please check this up again and revert back incase the issue still persists [Manish]. 18 Aug 99: Fixed [Aegidia]. 23 Aug 99: Fix verified in v1.3 [Andrew].</v>
          </cell>
          <cell r="O201" t="str">
            <v>P1</v>
          </cell>
          <cell r="P201">
            <v>1.3</v>
          </cell>
        </row>
        <row r="202">
          <cell r="A202">
            <v>201</v>
          </cell>
          <cell r="B202">
            <v>36384</v>
          </cell>
          <cell r="C202" t="str">
            <v>Andrew</v>
          </cell>
          <cell r="D202" t="str">
            <v>U</v>
          </cell>
          <cell r="E202" t="str">
            <v>DR</v>
          </cell>
          <cell r="F202" t="str">
            <v>AW</v>
          </cell>
          <cell r="G202" t="str">
            <v>Inq</v>
          </cell>
          <cell r="H202" t="str">
            <v>M</v>
          </cell>
          <cell r="I202" t="str">
            <v>H</v>
          </cell>
          <cell r="J202" t="str">
            <v>Closed</v>
          </cell>
          <cell r="K202" t="str">
            <v>In the “Call Deposit” screen, the ‘As Of’ date is different in SBOS (05 Jul 99).</v>
          </cell>
          <cell r="L202" t="str">
            <v>-</v>
          </cell>
          <cell r="M202" t="str">
            <v>Incidents 12Aug99\Andrew\Aug 12 (am).doc</v>
          </cell>
          <cell r="N202" t="str">
            <v>Further investigation required. (GMT related?) 21 Aug 99: Fixed in 8 Aug feed; ready for retest in Cycle 3 [Aegidia] 24 Aug 99: Andrew to re-test [Sam] 25 Aug 99: Verified by Andrew.</v>
          </cell>
          <cell r="O202" t="str">
            <v>P1</v>
          </cell>
          <cell r="P202">
            <v>1.3</v>
          </cell>
        </row>
        <row r="203">
          <cell r="A203">
            <v>202</v>
          </cell>
          <cell r="B203">
            <v>36384</v>
          </cell>
          <cell r="C203" t="str">
            <v>Andrew</v>
          </cell>
          <cell r="D203" t="str">
            <v>U</v>
          </cell>
          <cell r="E203" t="str">
            <v>DR</v>
          </cell>
          <cell r="F203" t="str">
            <v>AW</v>
          </cell>
          <cell r="G203" t="str">
            <v>Inq</v>
          </cell>
          <cell r="H203" t="str">
            <v>M</v>
          </cell>
          <cell r="I203" t="str">
            <v>H</v>
          </cell>
          <cell r="J203" t="str">
            <v>Closed</v>
          </cell>
          <cell r="K203" t="str">
            <v>In the “Call Deposit” screen, how is the ‘Accrued Interest’ of 10,593.00 derived?</v>
          </cell>
          <cell r="L203" t="str">
            <v>-</v>
          </cell>
          <cell r="M203" t="str">
            <v>Incidents 12Aug99\Andrew\Aug 12 (am).doc</v>
          </cell>
          <cell r="N203" t="str">
            <v>16 Aug 99: Andrew needs to obtain account information from London to help investigation [Aegidia]. 21 Aug 99: Fixed in 8 Aug feed; ready for retest in Cycle 3 [Aegidia] 23 Aug 99: Screen shot provided to Aegidia [Andrew] 24 Aug 99: Andrew to re-test [Sam]</v>
          </cell>
          <cell r="O203" t="str">
            <v>P1</v>
          </cell>
          <cell r="P203">
            <v>1.3</v>
          </cell>
        </row>
        <row r="204">
          <cell r="A204">
            <v>203</v>
          </cell>
          <cell r="B204">
            <v>36384</v>
          </cell>
          <cell r="C204" t="str">
            <v>Andrew</v>
          </cell>
          <cell r="D204" t="str">
            <v>U</v>
          </cell>
          <cell r="E204" t="str">
            <v>CT</v>
          </cell>
          <cell r="F204" t="str">
            <v>SC</v>
          </cell>
          <cell r="G204" t="str">
            <v>Cor</v>
          </cell>
          <cell r="H204" t="str">
            <v>S</v>
          </cell>
          <cell r="I204" t="str">
            <v>H</v>
          </cell>
          <cell r="J204" t="str">
            <v>Closed</v>
          </cell>
          <cell r="K204" t="str">
            <v>When I clicked on the ‘Shortfall: N/A, the ‘ID: Faith Chua’ was corridored to MBOasis HK, when the ID does not have a Hong Kong MBOasis profile.</v>
          </cell>
          <cell r="L204" t="str">
            <v>-</v>
          </cell>
          <cell r="M204" t="str">
            <v>Incidents 12Aug99\Andrew\Aug 12 (am).doc</v>
          </cell>
          <cell r="N204" t="str">
            <v xml:space="preserve">May be a duplicate. Not a duplicate, one refers to SBOS and this one to MB-OASIS). 24 Aug 99: Changed to CT and very high priority [Sam]. Andrew to elaborate [Sandeep]. 26 Aug 99: Verified by Andrew </v>
          </cell>
          <cell r="O204" t="str">
            <v>P1</v>
          </cell>
          <cell r="P204">
            <v>1.3</v>
          </cell>
        </row>
        <row r="205">
          <cell r="A205">
            <v>204</v>
          </cell>
          <cell r="B205">
            <v>36384</v>
          </cell>
          <cell r="C205" t="str">
            <v>Helen</v>
          </cell>
          <cell r="D205" t="str">
            <v>U</v>
          </cell>
          <cell r="E205" t="str">
            <v>CT</v>
          </cell>
          <cell r="F205" t="str">
            <v>SC</v>
          </cell>
          <cell r="G205" t="str">
            <v>EG</v>
          </cell>
          <cell r="H205" t="str">
            <v>M</v>
          </cell>
          <cell r="I205" t="str">
            <v>H</v>
          </cell>
          <cell r="J205" t="str">
            <v>Dup</v>
          </cell>
          <cell r="K205" t="str">
            <v>[see 146] (see page 5 and 6): Logon as maker (Margaret Cheng) and attempt to create the Hong Kong LEG (the transaction was tried on Aug 10, 99 but failed). As shown below, there is no existing Hong Kong LEG for Masterpiece Holdings Ltd.</v>
          </cell>
          <cell r="L205" t="str">
            <v>-</v>
          </cell>
          <cell r="M205" t="str">
            <v>Incidents 12Aug99\Helen\12Aug99-cycle 1.doc</v>
          </cell>
          <cell r="N205" t="str">
            <v>Further investigation required. Duplicate of 146. 23 Aug 99: 146 is a CT and Fixed in v1.3!! 24 Aug 99: Changed to CT and very high priority; Andrew to re-test [Sam].</v>
          </cell>
        </row>
        <row r="206">
          <cell r="A206">
            <v>205</v>
          </cell>
          <cell r="B206">
            <v>36384</v>
          </cell>
          <cell r="C206" t="str">
            <v>Helen</v>
          </cell>
          <cell r="D206" t="str">
            <v>U</v>
          </cell>
          <cell r="E206" t="str">
            <v>CT</v>
          </cell>
          <cell r="F206" t="str">
            <v>SC</v>
          </cell>
          <cell r="G206" t="str">
            <v>EG</v>
          </cell>
          <cell r="H206" t="str">
            <v>L</v>
          </cell>
          <cell r="I206" t="str">
            <v>L</v>
          </cell>
          <cell r="J206" t="str">
            <v>Closed</v>
          </cell>
          <cell r="K206" t="str">
            <v>Spelling mistake in the error message: “Aleardy” should spell “Already” in “Local Entitlement Aleardy Exists for this Entitlement”.</v>
          </cell>
          <cell r="L206" t="str">
            <v>-</v>
          </cell>
          <cell r="M206" t="str">
            <v>Incidents 12Aug99\Helen\12Aug99-cycle 1.doc</v>
          </cell>
          <cell r="N206" t="str">
            <v>17 Aug 99: Cannot be retested as the location will be taken out from the “Select Location” picklist in the “Create New LEG” screen. There is no chance the message will be given [Helen].</v>
          </cell>
          <cell r="O206" t="str">
            <v>P1</v>
          </cell>
          <cell r="P206">
            <v>1.2</v>
          </cell>
        </row>
        <row r="207">
          <cell r="A207">
            <v>206</v>
          </cell>
          <cell r="B207">
            <v>36384</v>
          </cell>
          <cell r="C207" t="str">
            <v>Helen</v>
          </cell>
          <cell r="D207" t="str">
            <v>U</v>
          </cell>
          <cell r="E207" t="str">
            <v>CT</v>
          </cell>
          <cell r="F207" t="str">
            <v>SC</v>
          </cell>
          <cell r="G207" t="str">
            <v>EG</v>
          </cell>
          <cell r="H207" t="str">
            <v>M</v>
          </cell>
          <cell r="I207" t="str">
            <v>H</v>
          </cell>
          <cell r="J207" t="str">
            <v>Closed</v>
          </cell>
          <cell r="K207" t="str">
            <v xml:space="preserve">The 4th and 5th entries are incorrect in the Approval Batch Overview screen. The operation is to “Add LEG role” to GEG3 but there is no value under “Location”. The correct operations are repeated at the 7th and 8th entries. </v>
          </cell>
          <cell r="L207" t="str">
            <v>-</v>
          </cell>
          <cell r="M207" t="str">
            <v>Incidents 12Aug99\Helen\12Aug99-cycle 1.doc</v>
          </cell>
          <cell r="N207" t="str">
            <v>23 Aug 99: Fixed in v1.3 [Sandeep]. Verified Fix in v1.3 [Helen].</v>
          </cell>
          <cell r="O207" t="str">
            <v>P1</v>
          </cell>
          <cell r="P207">
            <v>1.3</v>
          </cell>
        </row>
        <row r="208">
          <cell r="A208">
            <v>207</v>
          </cell>
          <cell r="B208">
            <v>36384</v>
          </cell>
          <cell r="C208" t="str">
            <v>Helen</v>
          </cell>
          <cell r="D208" t="str">
            <v>U</v>
          </cell>
          <cell r="E208" t="str">
            <v>NR</v>
          </cell>
          <cell r="F208" t="str">
            <v>PA</v>
          </cell>
          <cell r="G208" t="str">
            <v>EG</v>
          </cell>
          <cell r="H208" t="str">
            <v>M</v>
          </cell>
          <cell r="I208" t="str">
            <v>H</v>
          </cell>
          <cell r="J208" t="str">
            <v>Closed</v>
          </cell>
          <cell r="K208" t="str">
            <v>In the Add Link View Details screen, there is no hyperlink under the portfolio number “PF No”. User is unable to view further details (account numbers) under the portfolio and hence unable to assign member role at both portfolio and account level.</v>
          </cell>
          <cell r="L208" t="str">
            <v>-</v>
          </cell>
          <cell r="M208" t="str">
            <v>Incidents 12Aug99\Helen\12Aug99-cycle 1.doc</v>
          </cell>
          <cell r="N208" t="str">
            <v>27 Aug 99: Closed [Sam].</v>
          </cell>
          <cell r="O208" t="str">
            <v>P1</v>
          </cell>
          <cell r="P208">
            <v>1.4</v>
          </cell>
        </row>
        <row r="209">
          <cell r="A209">
            <v>208</v>
          </cell>
          <cell r="B209">
            <v>36384</v>
          </cell>
          <cell r="C209" t="str">
            <v>Helen</v>
          </cell>
          <cell r="D209" t="str">
            <v>U</v>
          </cell>
          <cell r="E209" t="str">
            <v>CT</v>
          </cell>
          <cell r="F209" t="str">
            <v>SC</v>
          </cell>
          <cell r="G209" t="str">
            <v>EG</v>
          </cell>
          <cell r="H209" t="str">
            <v>M</v>
          </cell>
          <cell r="I209" t="str">
            <v>H</v>
          </cell>
          <cell r="J209" t="str">
            <v>Closed</v>
          </cell>
          <cell r="K209" t="str">
            <v>The Hong Kong LEG for Masterpiece Holdings Ltd can be created only after rejection of the entire pending transaction!!</v>
          </cell>
          <cell r="L209" t="str">
            <v>-</v>
          </cell>
          <cell r="M209" t="str">
            <v>Incidents 12Aug99\Helen\12Aug99-cycle 1.doc</v>
          </cell>
          <cell r="N209" t="str">
            <v>23 Aug 99: Fixed in v1.3 [Sandeep]. 24 Aug 99: Helen to re-test [Sam]. 2 Sept 99: Verified fix in v1.4+ [Helen].</v>
          </cell>
          <cell r="O209" t="str">
            <v>P1</v>
          </cell>
          <cell r="P209">
            <v>1.3</v>
          </cell>
        </row>
        <row r="210">
          <cell r="A210">
            <v>209</v>
          </cell>
          <cell r="B210">
            <v>36384</v>
          </cell>
          <cell r="C210" t="str">
            <v>Helen</v>
          </cell>
          <cell r="D210" t="str">
            <v>U</v>
          </cell>
          <cell r="E210" t="str">
            <v>DR</v>
          </cell>
          <cell r="F210" t="str">
            <v>AW</v>
          </cell>
          <cell r="G210" t="str">
            <v>EG</v>
          </cell>
          <cell r="H210" t="str">
            <v>M</v>
          </cell>
          <cell r="I210" t="str">
            <v>H</v>
          </cell>
          <cell r="J210" t="str">
            <v>Closed</v>
          </cell>
          <cell r="K210" t="str">
            <v>Unable to link Zurich Multibranch base 345477. Got error: “Base No: 345477 Not Available”.</v>
          </cell>
          <cell r="L210" t="str">
            <v>-</v>
          </cell>
          <cell r="M210" t="str">
            <v>Incidents 12Aug99\Helen\12Aug99-cycle 1.doc</v>
          </cell>
          <cell r="N210" t="str">
            <v>Further investigation required. 16 Aug 99: Helen is to confirm if 345477 is closed [Aegidia]. 18 Aug 99: Confirmed that the base number 345477 is closed in MB-EMEA [Helen].</v>
          </cell>
          <cell r="O210" t="str">
            <v>P1</v>
          </cell>
          <cell r="P210">
            <v>1.2</v>
          </cell>
        </row>
        <row r="211">
          <cell r="A211">
            <v>210</v>
          </cell>
          <cell r="B211">
            <v>36384</v>
          </cell>
          <cell r="C211" t="str">
            <v>Helen</v>
          </cell>
          <cell r="D211" t="str">
            <v>U</v>
          </cell>
          <cell r="E211" t="str">
            <v>CT</v>
          </cell>
          <cell r="F211" t="str">
            <v>SC</v>
          </cell>
          <cell r="G211" t="str">
            <v>EG</v>
          </cell>
          <cell r="H211" t="str">
            <v>M</v>
          </cell>
          <cell r="I211" t="str">
            <v>H</v>
          </cell>
          <cell r="J211" t="str">
            <v>Closed</v>
          </cell>
          <cell r="K211" t="str">
            <v>Maker should be allowed to unlink incorrectly linked base number before a transaction is authorized.</v>
          </cell>
          <cell r="L211" t="str">
            <v>-</v>
          </cell>
          <cell r="M211" t="str">
            <v>Incidents 12Aug99\Helen\12Aug99-cycle 1.doc</v>
          </cell>
          <cell r="N211" t="str">
            <v>24 Aug 99: Changed to CT and very high priority; Helen to re-test [Sam]. 27 Aug 99: Closed [Sam].</v>
          </cell>
          <cell r="O211" t="str">
            <v>P1</v>
          </cell>
        </row>
        <row r="212">
          <cell r="A212">
            <v>211</v>
          </cell>
          <cell r="B212">
            <v>36384</v>
          </cell>
          <cell r="C212" t="str">
            <v>Helen</v>
          </cell>
          <cell r="D212" t="str">
            <v>U</v>
          </cell>
          <cell r="E212" t="str">
            <v>NR</v>
          </cell>
          <cell r="F212" t="str">
            <v>PA</v>
          </cell>
          <cell r="G212" t="str">
            <v>EG</v>
          </cell>
          <cell r="H212" t="str">
            <v>M</v>
          </cell>
          <cell r="I212" t="str">
            <v>H</v>
          </cell>
          <cell r="J212" t="str">
            <v>Auth</v>
          </cell>
          <cell r="K212" t="str">
            <v>Role assignment is allowed in “Link Overview” screen (previous page) but not in the “Add Link – View Details” screen (page 29). The option “Define member roles” should also be available in this screen as an option button such that user can logically go in</v>
          </cell>
          <cell r="L212" t="str">
            <v>-</v>
          </cell>
          <cell r="M212" t="str">
            <v>Incidents 12Aug99\Helen\12Aug99-cycle 1.doc</v>
          </cell>
          <cell r="N212" t="str">
            <v>24 Aug 99: Priority is high [Sam]</v>
          </cell>
          <cell r="O212" t="str">
            <v>P2</v>
          </cell>
        </row>
        <row r="213">
          <cell r="A213">
            <v>212</v>
          </cell>
          <cell r="B213">
            <v>36384</v>
          </cell>
          <cell r="C213" t="str">
            <v>Helen</v>
          </cell>
          <cell r="D213" t="str">
            <v>U</v>
          </cell>
          <cell r="E213" t="str">
            <v>CT</v>
          </cell>
          <cell r="F213" t="str">
            <v>SC</v>
          </cell>
          <cell r="G213" t="str">
            <v>EG</v>
          </cell>
          <cell r="H213" t="str">
            <v>L</v>
          </cell>
          <cell r="I213" t="str">
            <v>M</v>
          </cell>
          <cell r="J213" t="str">
            <v>Dup</v>
          </cell>
          <cell r="K213" t="str">
            <v xml:space="preserve">[See 10] Contingent liabilities 762469E01 (one type of holdings) is still displayed under the list of accounts. </v>
          </cell>
          <cell r="L213" t="str">
            <v>-</v>
          </cell>
          <cell r="M213" t="str">
            <v>Incidents 12Aug99\Helen\12Aug99-cycle 1.doc</v>
          </cell>
          <cell r="N213" t="str">
            <v>Further investigation required. 14 Aug: Duplicate of 10 24 Aug 99: Changed to CT and medium priority [Sam]. 30 Aug 99: Verified fix in v1.4 [Helen].</v>
          </cell>
          <cell r="O213" t="str">
            <v>P1</v>
          </cell>
          <cell r="P213">
            <v>1.4</v>
          </cell>
        </row>
        <row r="214">
          <cell r="A214">
            <v>213</v>
          </cell>
          <cell r="B214">
            <v>36384</v>
          </cell>
          <cell r="C214" t="str">
            <v>Helen</v>
          </cell>
          <cell r="D214" t="str">
            <v>U</v>
          </cell>
          <cell r="E214" t="str">
            <v>DR</v>
          </cell>
          <cell r="F214" t="str">
            <v>AW</v>
          </cell>
          <cell r="G214" t="str">
            <v>EG</v>
          </cell>
          <cell r="H214" t="str">
            <v>M</v>
          </cell>
          <cell r="I214" t="str">
            <v>H</v>
          </cell>
          <cell r="J214" t="str">
            <v>Closed</v>
          </cell>
          <cell r="K214" t="str">
            <v>None of the Clientwindows entitlement group/account numbers exist: 305390, 393895, 98021201, 98255301, 98275302.</v>
          </cell>
          <cell r="L214" t="str">
            <v>-</v>
          </cell>
          <cell r="M214" t="str">
            <v>Incidents 12Aug99\Helen\12Aug99-cycle 1.doc</v>
          </cell>
          <cell r="N214" t="str">
            <v>16 Aug 99: Helen to confirm the validity of these entitlement group numbers [Aegidia]. 18 Aug 99: Confirmed that all (except 98275301) were closed in Clientwindows. 98275301 and 98275302 were opened under a non-AP expense code therefore excluded from data</v>
          </cell>
          <cell r="O214" t="str">
            <v>P1</v>
          </cell>
          <cell r="P214">
            <v>1.2</v>
          </cell>
        </row>
        <row r="215">
          <cell r="A215">
            <v>214</v>
          </cell>
          <cell r="B215">
            <v>36385</v>
          </cell>
          <cell r="C215" t="str">
            <v>Hiraki</v>
          </cell>
          <cell r="D215" t="str">
            <v>U</v>
          </cell>
          <cell r="E215" t="str">
            <v>MC</v>
          </cell>
          <cell r="F215" t="str">
            <v>JR</v>
          </cell>
          <cell r="G215" t="str">
            <v>EG</v>
          </cell>
          <cell r="H215" t="str">
            <v>L</v>
          </cell>
          <cell r="I215" t="str">
            <v>L</v>
          </cell>
          <cell r="J215" t="str">
            <v>Closed</v>
          </cell>
          <cell r="K215" t="str">
            <v>Cannot generate EG Report for July 7/8.</v>
          </cell>
          <cell r="L215" t="str">
            <v>Tokyo 4.5.doc</v>
          </cell>
          <cell r="M215" t="str">
            <v>-</v>
          </cell>
          <cell r="N215" t="str">
            <v>13 Aug: Test case description is incorrect.</v>
          </cell>
          <cell r="O215" t="str">
            <v>P1</v>
          </cell>
          <cell r="P215">
            <v>1.2</v>
          </cell>
        </row>
        <row r="216">
          <cell r="A216">
            <v>215</v>
          </cell>
          <cell r="B216">
            <v>36385</v>
          </cell>
          <cell r="C216" t="str">
            <v>Iida</v>
          </cell>
          <cell r="D216" t="str">
            <v>U</v>
          </cell>
          <cell r="E216" t="str">
            <v>MC</v>
          </cell>
          <cell r="F216" t="str">
            <v>JR</v>
          </cell>
          <cell r="G216" t="str">
            <v>EG</v>
          </cell>
          <cell r="H216" t="str">
            <v>L</v>
          </cell>
          <cell r="I216" t="str">
            <v>L</v>
          </cell>
          <cell r="J216" t="str">
            <v>Closed</v>
          </cell>
          <cell r="K216" t="str">
            <v>From GEG "Overview screen" attempted to close GEG; test case indicates that the action should be allowed, however, it was not.</v>
          </cell>
          <cell r="L216" t="str">
            <v>Takeda 4.2.1, 4.2.2, 4.3.2.doc</v>
          </cell>
          <cell r="M216" t="str">
            <v>-</v>
          </cell>
          <cell r="N216" t="str">
            <v>23 Aug 99: Test Cace based on Prototype [Jacob].</v>
          </cell>
          <cell r="O216" t="str">
            <v>P1</v>
          </cell>
          <cell r="P216">
            <v>1.2</v>
          </cell>
        </row>
        <row r="217">
          <cell r="A217">
            <v>216</v>
          </cell>
          <cell r="B217">
            <v>36385</v>
          </cell>
          <cell r="C217" t="str">
            <v>Iida</v>
          </cell>
          <cell r="D217" t="str">
            <v>U</v>
          </cell>
          <cell r="E217" t="str">
            <v>MC</v>
          </cell>
          <cell r="F217" t="str">
            <v>JR</v>
          </cell>
          <cell r="G217" t="str">
            <v>EG</v>
          </cell>
          <cell r="H217" t="str">
            <v>L</v>
          </cell>
          <cell r="I217" t="str">
            <v>L</v>
          </cell>
          <cell r="J217" t="str">
            <v>Closed</v>
          </cell>
          <cell r="K217" t="str">
            <v xml:space="preserve">At the "PF Overview" screen test case indicates to click on the "DeletePortfolio" button, however, no such button exists. </v>
          </cell>
          <cell r="L217" t="str">
            <v>Takeda 4.2.1, 4.2.2, 4.3.2.doc</v>
          </cell>
          <cell r="M217" t="str">
            <v>-</v>
          </cell>
          <cell r="N217" t="str">
            <v>23 Aug 99: Test Cace based on Prototype [Jacob].</v>
          </cell>
          <cell r="O217" t="str">
            <v>P1</v>
          </cell>
          <cell r="P217">
            <v>1.2</v>
          </cell>
        </row>
        <row r="218">
          <cell r="A218">
            <v>217</v>
          </cell>
          <cell r="B218">
            <v>36385</v>
          </cell>
          <cell r="C218" t="str">
            <v>Andrew</v>
          </cell>
          <cell r="D218" t="str">
            <v>U</v>
          </cell>
          <cell r="E218" t="str">
            <v>CT</v>
          </cell>
          <cell r="F218" t="str">
            <v>SC</v>
          </cell>
          <cell r="G218" t="str">
            <v>EG</v>
          </cell>
          <cell r="H218" t="str">
            <v>M</v>
          </cell>
          <cell r="I218" t="str">
            <v>H</v>
          </cell>
          <cell r="J218" t="str">
            <v>Dup</v>
          </cell>
          <cell r="K218" t="str">
            <v>[See 85] At "EG Maintenance Approve Screen" used another RSO to update the transaction; however, primary RSO is still shown.</v>
          </cell>
          <cell r="L218" t="str">
            <v>EGM-4.4 case1-FWL.doc</v>
          </cell>
          <cell r="M218" t="str">
            <v>-</v>
          </cell>
          <cell r="N218" t="str">
            <v>Duplicate of 85; already discussed with Sandeep 24 Aug 99: Changed to CT [Sam].</v>
          </cell>
        </row>
        <row r="219">
          <cell r="A219">
            <v>218</v>
          </cell>
          <cell r="B219">
            <v>36385</v>
          </cell>
          <cell r="C219" t="str">
            <v>Miranda</v>
          </cell>
          <cell r="D219" t="str">
            <v>U</v>
          </cell>
          <cell r="E219" t="str">
            <v>NR</v>
          </cell>
          <cell r="F219" t="str">
            <v>PA</v>
          </cell>
          <cell r="G219" t="str">
            <v>EG</v>
          </cell>
          <cell r="H219" t="str">
            <v>M</v>
          </cell>
          <cell r="I219" t="str">
            <v>H</v>
          </cell>
          <cell r="J219" t="str">
            <v>Re-Raised</v>
          </cell>
          <cell r="K219" t="str">
            <v>[See 11] At the "Edit GEG" screen, cannot delete the GEG member before authorisation of the GEG.</v>
          </cell>
          <cell r="L219" t="str">
            <v>-</v>
          </cell>
          <cell r="M219" t="str">
            <v>..\SCREEN SHOTS\Incidents 26 Aug\Miranda\CSP UAT Incidents on Aug. 24 - MC.doc</v>
          </cell>
          <cell r="N219" t="str">
            <v>23 Aug 99: Why is this a duplicate of 11 [Bharat]? 24 Aug 99: Miranda to re-test [Sam] 26 Aug 99: Re-test failed [Miranda] . 1 Sep 99: Changed from CT to NR [Sandeep].</v>
          </cell>
          <cell r="O219" t="str">
            <v>P2</v>
          </cell>
        </row>
        <row r="220">
          <cell r="A220">
            <v>219</v>
          </cell>
          <cell r="B220">
            <v>36385</v>
          </cell>
          <cell r="C220" t="str">
            <v>Miranda</v>
          </cell>
          <cell r="D220" t="str">
            <v>U</v>
          </cell>
          <cell r="E220" t="str">
            <v>CT</v>
          </cell>
          <cell r="F220" t="str">
            <v>SC</v>
          </cell>
          <cell r="G220" t="str">
            <v>Inq</v>
          </cell>
          <cell r="H220" t="str">
            <v>M</v>
          </cell>
          <cell r="I220" t="str">
            <v>H</v>
          </cell>
          <cell r="J220" t="str">
            <v>Closed</v>
          </cell>
          <cell r="K220" t="str">
            <v>At the "Time Deposit" screen for Relationship "Juang, Wei Jung", a meaningful description could be captured from SBOS instead of showing "N/A" (See 195).</v>
          </cell>
          <cell r="L220" t="str">
            <v>-</v>
          </cell>
          <cell r="M220" t="str">
            <v>..\SCREEN SHOTS\Incidents 26 Aug\Miranda\CSP UAT Incidents on Aug. 24 - MC.doc</v>
          </cell>
          <cell r="N220" t="str">
            <v>18 Aug 99: Should be NR as this is an extension of 151[Aegidia]. 20 Aug 99: Should be a CT as users have requested to see "description" for virtually all asset classes except FX, LC, IRS and OTC options. [Helen]. 24 Aug 99: Miranda to re-test [Sam]. 26 Au</v>
          </cell>
          <cell r="O220" t="str">
            <v>P1</v>
          </cell>
          <cell r="P220">
            <v>1.4</v>
          </cell>
        </row>
        <row r="221">
          <cell r="A221">
            <v>220</v>
          </cell>
          <cell r="B221">
            <v>36385</v>
          </cell>
          <cell r="C221" t="str">
            <v>Miranda</v>
          </cell>
          <cell r="D221" t="str">
            <v>U</v>
          </cell>
          <cell r="E221" t="str">
            <v>CT</v>
          </cell>
          <cell r="F221" t="str">
            <v>SC</v>
          </cell>
          <cell r="G221" t="str">
            <v>Inq</v>
          </cell>
          <cell r="H221" t="str">
            <v>M</v>
          </cell>
          <cell r="I221" t="str">
            <v>H</v>
          </cell>
          <cell r="J221" t="str">
            <v>Dup</v>
          </cell>
          <cell r="K221" t="str">
            <v>[See 20, 229] Performance: At the "Member Overview" screen it takes 15 seconds to go back from the Member/EG level to the Relationship.</v>
          </cell>
          <cell r="L221" t="str">
            <v>-</v>
          </cell>
          <cell r="M221" t="str">
            <v>Incidents 13Aug99\Miranda\CSP UAT INCIDENTS ON AUG. 13 - MC.doc</v>
          </cell>
          <cell r="N221" t="str">
            <v>23 Aug 99: Sandeep, why is this a duplicate of 20 [Bharat]?</v>
          </cell>
        </row>
        <row r="222">
          <cell r="A222">
            <v>221</v>
          </cell>
          <cell r="B222">
            <v>36385</v>
          </cell>
          <cell r="C222" t="str">
            <v>Miranda</v>
          </cell>
          <cell r="D222" t="str">
            <v>U</v>
          </cell>
          <cell r="E222" t="str">
            <v>NR</v>
          </cell>
          <cell r="F222" t="str">
            <v>PA</v>
          </cell>
          <cell r="G222" t="str">
            <v>Inq</v>
          </cell>
          <cell r="H222" t="str">
            <v>L</v>
          </cell>
          <cell r="I222" t="str">
            <v>M</v>
          </cell>
          <cell r="J222" t="str">
            <v>Auth</v>
          </cell>
          <cell r="K222" t="str">
            <v>Screen shot is at "Other Funds", however this applies to all of CSP. It would be helpful to display full description for all abbreviations via mouse over, e.g., KY under Issuer Country.</v>
          </cell>
          <cell r="L222" t="str">
            <v>-</v>
          </cell>
          <cell r="M222" t="str">
            <v>Incidents 13Aug99\Miranda\CSP UAT INCIDENTS ON AUG. 13 - MC.doc</v>
          </cell>
          <cell r="O222" t="str">
            <v>P2</v>
          </cell>
        </row>
        <row r="223">
          <cell r="A223">
            <v>222</v>
          </cell>
          <cell r="B223">
            <v>36385</v>
          </cell>
          <cell r="C223" t="str">
            <v>Helen</v>
          </cell>
          <cell r="D223" t="str">
            <v>U</v>
          </cell>
          <cell r="E223" t="str">
            <v>NR</v>
          </cell>
          <cell r="F223" t="str">
            <v>PA</v>
          </cell>
          <cell r="G223" t="str">
            <v>EG</v>
          </cell>
          <cell r="H223" t="str">
            <v>L</v>
          </cell>
          <cell r="I223" t="str">
            <v>L</v>
          </cell>
          <cell r="J223" t="str">
            <v>Auth</v>
          </cell>
          <cell r="K223" t="str">
            <v>[See 223] At the "Link Overview" screen it would be advantageous to have the facility to mouse over under the TPM column in order to show the member role details.</v>
          </cell>
          <cell r="L223" t="str">
            <v>-</v>
          </cell>
          <cell r="M223" t="str">
            <v>Incidents 13Aug99\Helen\13Aug99-cycle 2 (pm).doc</v>
          </cell>
          <cell r="O223" t="str">
            <v>P2</v>
          </cell>
        </row>
        <row r="224">
          <cell r="A224">
            <v>223</v>
          </cell>
          <cell r="B224">
            <v>36385</v>
          </cell>
          <cell r="C224" t="str">
            <v>Helen</v>
          </cell>
          <cell r="D224" t="str">
            <v>U</v>
          </cell>
          <cell r="E224" t="str">
            <v>NR</v>
          </cell>
          <cell r="F224" t="str">
            <v>PA</v>
          </cell>
          <cell r="G224" t="str">
            <v>EG</v>
          </cell>
          <cell r="H224" t="str">
            <v>L</v>
          </cell>
          <cell r="I224" t="str">
            <v>L</v>
          </cell>
          <cell r="J224" t="str">
            <v>Dup</v>
          </cell>
          <cell r="K224" t="str">
            <v>[See 222] Similar to Incident 222, it would be advantageous to have the facility to mouse-over for Accounts under the TPM column in order to show the member role details.</v>
          </cell>
          <cell r="L224" t="str">
            <v>-</v>
          </cell>
          <cell r="M224" t="str">
            <v>Incidents 13Aug99\Helen\13Aug99-cycle 2 (pm).doc</v>
          </cell>
          <cell r="N224" t="str">
            <v>Duplicate of 222.</v>
          </cell>
          <cell r="O224" t="str">
            <v>P2</v>
          </cell>
        </row>
        <row r="225">
          <cell r="A225">
            <v>224</v>
          </cell>
          <cell r="B225">
            <v>36385</v>
          </cell>
          <cell r="C225" t="str">
            <v>Helen</v>
          </cell>
          <cell r="D225" t="str">
            <v>U</v>
          </cell>
          <cell r="E225" t="str">
            <v>CT</v>
          </cell>
          <cell r="F225" t="str">
            <v>SC</v>
          </cell>
          <cell r="G225" t="str">
            <v>EG</v>
          </cell>
          <cell r="H225" t="str">
            <v>M</v>
          </cell>
          <cell r="I225" t="str">
            <v>H</v>
          </cell>
          <cell r="J225" t="str">
            <v>Dup</v>
          </cell>
          <cell r="K225" t="str">
            <v>[See 11] At the "Add Link " screen, the user should be allowed to link a number that they themselves have unlinked to another GEG within the same relationship (even though the operation has not been authorized). In this manner, all operations can be autho</v>
          </cell>
          <cell r="L225" t="str">
            <v>-</v>
          </cell>
          <cell r="M225" t="str">
            <v>Incidents 13Aug99\Helen\13Aug99-cycle 2 (pm).doc</v>
          </cell>
          <cell r="N225" t="str">
            <v>Duplicate of 11. 24 Aug 99: Helen to re-test. This is NOT a duplicate of 11 [Sam].</v>
          </cell>
          <cell r="O225" t="str">
            <v>P1</v>
          </cell>
          <cell r="P225">
            <v>1.1000000000000001</v>
          </cell>
        </row>
        <row r="226">
          <cell r="A226">
            <v>225</v>
          </cell>
          <cell r="B226">
            <v>36385</v>
          </cell>
          <cell r="C226" t="str">
            <v>Helen</v>
          </cell>
          <cell r="D226" t="str">
            <v>U</v>
          </cell>
          <cell r="E226" t="str">
            <v>CT</v>
          </cell>
          <cell r="F226" t="str">
            <v>SC</v>
          </cell>
          <cell r="G226" t="str">
            <v>Inq</v>
          </cell>
          <cell r="H226" t="str">
            <v>M</v>
          </cell>
          <cell r="I226" t="str">
            <v>H</v>
          </cell>
          <cell r="J226" t="str">
            <v>Closed</v>
          </cell>
          <cell r="K226" t="str">
            <v>The GCB maxisave account number is also mapped to the portfolio number. Question: Is there a GCB portfolio number?</v>
          </cell>
          <cell r="L226" t="str">
            <v>-</v>
          </cell>
          <cell r="M226" t="str">
            <v>Incidents 13Aug99\Helen\13Aug99-cycle 2 (pm).doc</v>
          </cell>
          <cell r="N226" t="str">
            <v>23 Aug 99: Changed from DI to DR and prioritized as Medium. 24 Aug 99: Changed to CT and high priority [Sam]. Related to 297? 30 Aug 99: Failed verification in v1.4 [Helen]. 07 Sept 99: The modification to directly go to the account overview from link ove</v>
          </cell>
          <cell r="O226" t="str">
            <v>P1</v>
          </cell>
          <cell r="P226">
            <v>1.4</v>
          </cell>
        </row>
        <row r="227">
          <cell r="A227">
            <v>226</v>
          </cell>
          <cell r="B227">
            <v>36385</v>
          </cell>
          <cell r="C227" t="str">
            <v>Helen</v>
          </cell>
          <cell r="D227" t="str">
            <v>U</v>
          </cell>
          <cell r="E227" t="str">
            <v>CT</v>
          </cell>
          <cell r="F227" t="str">
            <v>SC</v>
          </cell>
          <cell r="G227" t="str">
            <v>EG</v>
          </cell>
          <cell r="H227" t="str">
            <v>M</v>
          </cell>
          <cell r="I227" t="str">
            <v>H</v>
          </cell>
          <cell r="J227" t="str">
            <v>Dup</v>
          </cell>
          <cell r="K227" t="str">
            <v>[See 11] At the "LEG Overview" screen, the operation of closing the LEG should be allowed if the maker has initiated the operation of unlinking all of the accounts under the LEG even though the operation has not been authorised. Thusly, the maker can do a</v>
          </cell>
          <cell r="L227" t="str">
            <v>-</v>
          </cell>
          <cell r="M227" t="str">
            <v>Incidents 13Aug99\Helen\13Aug99-cycle 2 (pm).doc</v>
          </cell>
          <cell r="N227" t="str">
            <v>Similar to 210 and 224. 24 Aug 99: Helen to re-test [Sam].</v>
          </cell>
          <cell r="O227" t="str">
            <v>P1</v>
          </cell>
          <cell r="P227">
            <v>1.1000000000000001</v>
          </cell>
        </row>
        <row r="228">
          <cell r="A228">
            <v>227</v>
          </cell>
          <cell r="B228">
            <v>36385</v>
          </cell>
          <cell r="C228" t="str">
            <v>Helen</v>
          </cell>
          <cell r="D228" t="str">
            <v>U</v>
          </cell>
          <cell r="E228" t="str">
            <v>UT</v>
          </cell>
          <cell r="F228" t="str">
            <v>PA</v>
          </cell>
          <cell r="G228" t="str">
            <v>Inq</v>
          </cell>
          <cell r="H228" t="str">
            <v>L</v>
          </cell>
          <cell r="I228" t="str">
            <v>L</v>
          </cell>
          <cell r="J228" t="str">
            <v>Closed</v>
          </cell>
          <cell r="K228" t="str">
            <v xml:space="preserve">At the "Entitlement Group Overview" screen, what is location "CBS" that is shown? Unsure if it is "Switzerland". </v>
          </cell>
          <cell r="L228" t="str">
            <v>-</v>
          </cell>
          <cell r="M228" t="str">
            <v>Incidents 13Aug99\Helen\13Aug99-cycle 2 (pm).doc</v>
          </cell>
          <cell r="N228" t="str">
            <v>Yes; "CBS" is "Switzerland".</v>
          </cell>
          <cell r="O228" t="str">
            <v>P1</v>
          </cell>
          <cell r="P228">
            <v>1.2</v>
          </cell>
        </row>
        <row r="229">
          <cell r="A229">
            <v>228</v>
          </cell>
          <cell r="B229">
            <v>36385</v>
          </cell>
          <cell r="C229" t="str">
            <v>Helen</v>
          </cell>
          <cell r="D229" t="str">
            <v>U</v>
          </cell>
          <cell r="E229" t="str">
            <v>CT</v>
          </cell>
          <cell r="F229" t="str">
            <v>SC</v>
          </cell>
          <cell r="G229" t="str">
            <v>Inq</v>
          </cell>
          <cell r="H229" t="str">
            <v>M</v>
          </cell>
          <cell r="I229" t="str">
            <v>H</v>
          </cell>
          <cell r="J229" t="str">
            <v>Dup</v>
          </cell>
          <cell r="K229" t="str">
            <v>[See 39] The size of the mouse-over box is not large enough to show all of the text contained in the role detail.</v>
          </cell>
          <cell r="L229" t="str">
            <v>-</v>
          </cell>
          <cell r="M229" t="str">
            <v>Incidents 13Aug99\Helen\13Aug99-cycle 2 (pm).doc</v>
          </cell>
          <cell r="N229" t="str">
            <v>24 Aug 99: Priority is high [Sam]</v>
          </cell>
          <cell r="O229" t="str">
            <v>P1</v>
          </cell>
          <cell r="P229">
            <v>1.2</v>
          </cell>
        </row>
        <row r="230">
          <cell r="A230">
            <v>229</v>
          </cell>
          <cell r="B230">
            <v>36385</v>
          </cell>
          <cell r="C230" t="str">
            <v>Helen</v>
          </cell>
          <cell r="D230" t="str">
            <v>U</v>
          </cell>
          <cell r="E230" t="str">
            <v>CT</v>
          </cell>
          <cell r="F230" t="str">
            <v>SC</v>
          </cell>
          <cell r="G230" t="str">
            <v>Inq</v>
          </cell>
          <cell r="H230" t="str">
            <v>M</v>
          </cell>
          <cell r="I230" t="str">
            <v>H</v>
          </cell>
          <cell r="J230" t="str">
            <v>Dup</v>
          </cell>
          <cell r="K230" t="str">
            <v>[See 20, 220] Performance: At the "Relationship Overview" screen, on average it takes 50 to 60 seconds to retrieve the Entitlement Group and Portfolio details contained in the lower portion of the screen. This particular sample has 7 GEGs/14 LEGs and 10 a</v>
          </cell>
          <cell r="L230" t="str">
            <v>-</v>
          </cell>
          <cell r="M230" t="str">
            <v>Incidents 13Aug99\Helen\13Aug99-cycle 2 (pm).doc</v>
          </cell>
          <cell r="N230" t="str">
            <v>Duplicate of 20. 24 Aug 99: Priority changed to High; NOT a duplicate of 20 [Sam].</v>
          </cell>
        </row>
        <row r="231">
          <cell r="A231">
            <v>230</v>
          </cell>
          <cell r="B231">
            <v>36385</v>
          </cell>
          <cell r="C231" t="str">
            <v>Helen</v>
          </cell>
          <cell r="D231" t="str">
            <v>U</v>
          </cell>
          <cell r="E231" t="str">
            <v>CT</v>
          </cell>
          <cell r="F231" t="str">
            <v>SC</v>
          </cell>
          <cell r="G231" t="str">
            <v>Cor</v>
          </cell>
          <cell r="H231" t="str">
            <v>X</v>
          </cell>
          <cell r="I231" t="str">
            <v>X</v>
          </cell>
          <cell r="J231" t="str">
            <v>Closed</v>
          </cell>
          <cell r="K231" t="str">
            <v>A corridor was launched to OASIS-HK and the session was "killed" by clicking on the "kill" button in the "Corridor Control - Netscape" window; when attempting to launch a new corridor to OASIS-HK received the following message "Your login limit exhausted.</v>
          </cell>
          <cell r="L231" t="str">
            <v>-</v>
          </cell>
          <cell r="M231" t="str">
            <v>Incidents 13Aug99\Helen\13Aug99-cycle 2 (pm).doc</v>
          </cell>
          <cell r="N231" t="str">
            <v>23 Aug 99: Fixed in v1.3 [Sandeep]. Verified Fix in v1.3 [Helen].</v>
          </cell>
          <cell r="O231" t="str">
            <v>P1</v>
          </cell>
          <cell r="P231">
            <v>1.3</v>
          </cell>
        </row>
        <row r="232">
          <cell r="A232">
            <v>231</v>
          </cell>
          <cell r="B232">
            <v>36385</v>
          </cell>
          <cell r="C232" t="str">
            <v>Helen</v>
          </cell>
          <cell r="D232" t="str">
            <v>U</v>
          </cell>
          <cell r="E232" t="str">
            <v>CT</v>
          </cell>
          <cell r="F232" t="str">
            <v>SC</v>
          </cell>
          <cell r="G232" t="str">
            <v>Cor</v>
          </cell>
          <cell r="H232" t="str">
            <v>L</v>
          </cell>
          <cell r="I232" t="str">
            <v>M</v>
          </cell>
          <cell r="J232" t="str">
            <v>Closed</v>
          </cell>
          <cell r="K232" t="str">
            <v>The corridor screen shifted after invoking the ACL inquiry in FOS.</v>
          </cell>
          <cell r="L232" t="str">
            <v>-</v>
          </cell>
          <cell r="M232" t="str">
            <v>Incidents 13Aug99\Helen\13Aug99-cycle 2 (pm).doc</v>
          </cell>
          <cell r="N232" t="str">
            <v>23 Aug 99: Fixed in v1.3 [Sandeep]. Verified Fix in v1.3 [Helen].</v>
          </cell>
          <cell r="O232" t="str">
            <v>P1</v>
          </cell>
          <cell r="P232">
            <v>1.3</v>
          </cell>
        </row>
        <row r="233">
          <cell r="A233">
            <v>232</v>
          </cell>
          <cell r="B233">
            <v>36385</v>
          </cell>
          <cell r="C233" t="str">
            <v>Helen</v>
          </cell>
          <cell r="D233" t="str">
            <v>U</v>
          </cell>
          <cell r="E233" t="str">
            <v>CT</v>
          </cell>
          <cell r="F233" t="str">
            <v>SC</v>
          </cell>
          <cell r="G233" t="str">
            <v>Cor</v>
          </cell>
          <cell r="H233" t="str">
            <v>M</v>
          </cell>
          <cell r="I233" t="str">
            <v>H</v>
          </cell>
          <cell r="J233" t="str">
            <v>Fixed</v>
          </cell>
          <cell r="K233" t="str">
            <v>[See 312] At the "Current Accounts" / "Call Deposits" screen attempted to use context-sensitive corridoring to FOS-ACL function by clicking on the "As Of Date" "07-Jul-1999". The time that was taken to launch the session was approximately 2 minutes (can t</v>
          </cell>
          <cell r="L233" t="str">
            <v>-</v>
          </cell>
          <cell r="M233" t="str">
            <v>Incidents 13Aug99\Helen\13Aug99-cycle 2 (pm).doc</v>
          </cell>
          <cell r="N233" t="str">
            <v>18 Aug 99: Verified fix in v1.2 and the time taken reduced to an average of 30 seconds Sam, Andrew and Miranda to comment on the performance [Helen]. 24 Aug 99: Helen to re-test [Sam]. 31 Aug 99: Re-test result is 20 - 25 seconds [Helen].</v>
          </cell>
          <cell r="O233" t="str">
            <v>P1</v>
          </cell>
          <cell r="P233">
            <v>1.3</v>
          </cell>
        </row>
        <row r="234">
          <cell r="A234">
            <v>233</v>
          </cell>
          <cell r="B234">
            <v>36385</v>
          </cell>
          <cell r="C234" t="str">
            <v>Helen</v>
          </cell>
          <cell r="D234" t="str">
            <v>U</v>
          </cell>
          <cell r="E234" t="str">
            <v>CT</v>
          </cell>
          <cell r="F234" t="str">
            <v>SC</v>
          </cell>
          <cell r="G234" t="str">
            <v>Cor</v>
          </cell>
          <cell r="H234" t="str">
            <v>M</v>
          </cell>
          <cell r="I234" t="str">
            <v>H</v>
          </cell>
          <cell r="J234" t="str">
            <v>Closed</v>
          </cell>
          <cell r="K234" t="str">
            <v>This is related to Incident 232, and is the screen that follows the last one. The hyperlink pertains to a context-sensitive corridor but instead the session launched is a generic access to FOS; hyperlink should bring us to the ACL screen instead.</v>
          </cell>
          <cell r="L234" t="str">
            <v>-</v>
          </cell>
          <cell r="M234" t="str">
            <v>Incidents 13Aug99\Helen\13Aug99-cycle 2 (pm).doc</v>
          </cell>
          <cell r="N234" t="str">
            <v>18 Aug 99: Verified fix in v1.2 [Helen].</v>
          </cell>
          <cell r="O234" t="str">
            <v>P1</v>
          </cell>
          <cell r="P234">
            <v>1.2</v>
          </cell>
        </row>
        <row r="235">
          <cell r="A235">
            <v>234</v>
          </cell>
          <cell r="B235">
            <v>36386</v>
          </cell>
          <cell r="C235" t="str">
            <v>Iida</v>
          </cell>
          <cell r="D235" t="str">
            <v>U</v>
          </cell>
          <cell r="E235" t="str">
            <v>DI</v>
          </cell>
          <cell r="F235" t="str">
            <v>PA</v>
          </cell>
          <cell r="G235" t="str">
            <v>Inq</v>
          </cell>
          <cell r="H235" t="str">
            <v>L</v>
          </cell>
          <cell r="I235" t="str">
            <v>?</v>
          </cell>
          <cell r="J235" t="str">
            <v>Auth</v>
          </cell>
          <cell r="K235" t="str">
            <v>[See 240] At the "Relationship Search Results" screen; initially selected "Eiji Yagi" whose RM is "Daisaku Hiraki". "CR Overview" screen appears and shows "Eiji Yagi" which is correct, but the RM's name is not displayed.</v>
          </cell>
          <cell r="L235" t="str">
            <v>Yagi 4.1.1.doc</v>
          </cell>
          <cell r="M235" t="str">
            <v>Incidents 13Aug99\Iida\Yagi4.1.1.doc</v>
          </cell>
          <cell r="N235" t="str">
            <v>17 Aug 99: CW cleanup is required [Sandeep].</v>
          </cell>
        </row>
        <row r="236">
          <cell r="A236">
            <v>235</v>
          </cell>
          <cell r="B236">
            <v>36386</v>
          </cell>
          <cell r="C236" t="str">
            <v>Iida</v>
          </cell>
          <cell r="D236" t="str">
            <v>U</v>
          </cell>
          <cell r="E236" t="str">
            <v>CT</v>
          </cell>
          <cell r="F236" t="str">
            <v>SC</v>
          </cell>
          <cell r="G236" t="str">
            <v>EG</v>
          </cell>
          <cell r="H236" t="str">
            <v>L</v>
          </cell>
          <cell r="I236" t="str">
            <v>M</v>
          </cell>
          <cell r="J236" t="str">
            <v>Closed</v>
          </cell>
          <cell r="K236" t="str">
            <v xml:space="preserve">At the "EG Report" screen attempted to use the "Select Date" calendar to click on August 13 (start date) and August 16 (end date) to get information as of August 14. Did not work since August 14 is a Saturday. There is a need to be able to enter Saturday </v>
          </cell>
          <cell r="L236" t="str">
            <v>Yagi 4.5.doc</v>
          </cell>
          <cell r="M236" t="str">
            <v>Incidents 13Aug99\Iida\Yagi4.5.doc.doc</v>
          </cell>
          <cell r="N236" t="str">
            <v>16 Aug 99: Remember, Saturday is a working day in HK. 23 Aug 99: Changed from DI to CT [Sandeep]. 30 Aug 99: Verified by Iida.</v>
          </cell>
          <cell r="O236" t="str">
            <v>P1</v>
          </cell>
          <cell r="P236">
            <v>1.4</v>
          </cell>
        </row>
        <row r="237">
          <cell r="A237">
            <v>236</v>
          </cell>
          <cell r="B237">
            <v>36386</v>
          </cell>
          <cell r="C237" t="str">
            <v>Toda</v>
          </cell>
          <cell r="D237" t="str">
            <v>U</v>
          </cell>
          <cell r="E237" t="str">
            <v>MC</v>
          </cell>
          <cell r="F237" t="str">
            <v>JR</v>
          </cell>
          <cell r="G237" t="str">
            <v>EG</v>
          </cell>
          <cell r="H237" t="str">
            <v>L</v>
          </cell>
          <cell r="I237" t="str">
            <v>L</v>
          </cell>
          <cell r="J237" t="str">
            <v>Closed</v>
          </cell>
          <cell r="K237" t="str">
            <v xml:space="preserve">At the "Relationship Overview" screen "Eiji Yagi" should appear as a GEG with "Eiji Yagi" as the Owner. Test case is wrong since "Yagi - Owner" already exists. </v>
          </cell>
          <cell r="L237" t="str">
            <v>Yagi 4.1.2.doc</v>
          </cell>
          <cell r="M237" t="str">
            <v>-</v>
          </cell>
          <cell r="O237" t="str">
            <v>P1</v>
          </cell>
          <cell r="P237">
            <v>1.2</v>
          </cell>
        </row>
        <row r="238">
          <cell r="A238">
            <v>237</v>
          </cell>
          <cell r="B238">
            <v>36386</v>
          </cell>
          <cell r="C238" t="str">
            <v>Toda</v>
          </cell>
          <cell r="D238" t="str">
            <v>U</v>
          </cell>
          <cell r="E238" t="str">
            <v>MC</v>
          </cell>
          <cell r="F238" t="str">
            <v>JR</v>
          </cell>
          <cell r="G238" t="str">
            <v>EG</v>
          </cell>
          <cell r="H238" t="str">
            <v>L</v>
          </cell>
          <cell r="I238" t="str">
            <v>L</v>
          </cell>
          <cell r="J238" t="str">
            <v>Closed</v>
          </cell>
          <cell r="K238" t="str">
            <v>Same as Incident 236; cannot make "Eiji Yagi" an owner - test case is wrong.</v>
          </cell>
          <cell r="L238" t="str">
            <v>Yagi 4.1.4.doc</v>
          </cell>
          <cell r="M238" t="str">
            <v>-</v>
          </cell>
          <cell r="O238" t="str">
            <v>P1</v>
          </cell>
          <cell r="P238">
            <v>1.2</v>
          </cell>
        </row>
        <row r="239">
          <cell r="A239">
            <v>238</v>
          </cell>
          <cell r="B239">
            <v>36386</v>
          </cell>
          <cell r="C239" t="str">
            <v>Toda</v>
          </cell>
          <cell r="D239" t="str">
            <v>U</v>
          </cell>
          <cell r="E239" t="str">
            <v>MC</v>
          </cell>
          <cell r="F239" t="str">
            <v>JR</v>
          </cell>
          <cell r="G239" t="str">
            <v>EG</v>
          </cell>
          <cell r="H239" t="str">
            <v>L</v>
          </cell>
          <cell r="I239" t="str">
            <v>L</v>
          </cell>
          <cell r="J239" t="str">
            <v>Closed</v>
          </cell>
          <cell r="K239" t="str">
            <v>At the "Link " screen could not use TBS number "186225" since "Eiji Yagi" did not make the July 6 cutoff.</v>
          </cell>
          <cell r="L239" t="str">
            <v>Yagi 4.1.4.doc</v>
          </cell>
          <cell r="M239" t="str">
            <v>-</v>
          </cell>
          <cell r="O239" t="str">
            <v>P1</v>
          </cell>
          <cell r="P239">
            <v>1.2</v>
          </cell>
        </row>
        <row r="240">
          <cell r="A240">
            <v>239</v>
          </cell>
          <cell r="B240">
            <v>36386</v>
          </cell>
          <cell r="C240" t="str">
            <v>Toda</v>
          </cell>
          <cell r="D240" t="str">
            <v>U</v>
          </cell>
          <cell r="E240" t="str">
            <v>DI</v>
          </cell>
          <cell r="F240" t="str">
            <v>PA</v>
          </cell>
          <cell r="G240" t="str">
            <v>EG</v>
          </cell>
          <cell r="H240" t="str">
            <v>L</v>
          </cell>
          <cell r="I240" t="str">
            <v>?</v>
          </cell>
          <cell r="J240" t="str">
            <v>Auth</v>
          </cell>
          <cell r="K240" t="str">
            <v>At the "GEG Edit" screen attempted to enter potential role for "Eiji Yagi". Test case indicates to click on "TPM" from the list of potential roles, however, there's no "TPM" on the list.</v>
          </cell>
          <cell r="L240" t="str">
            <v>Yagi 4.1.4.doc</v>
          </cell>
          <cell r="M240" t="str">
            <v>-</v>
          </cell>
          <cell r="O240" t="str">
            <v>P2</v>
          </cell>
        </row>
        <row r="241">
          <cell r="A241">
            <v>240</v>
          </cell>
          <cell r="B241">
            <v>36386</v>
          </cell>
          <cell r="C241" t="str">
            <v>Toda</v>
          </cell>
          <cell r="D241" t="str">
            <v>U</v>
          </cell>
          <cell r="E241" t="str">
            <v>DI</v>
          </cell>
          <cell r="F241" t="str">
            <v>PA</v>
          </cell>
          <cell r="G241" t="str">
            <v>EG</v>
          </cell>
          <cell r="H241" t="str">
            <v>L</v>
          </cell>
          <cell r="I241" t="str">
            <v>?</v>
          </cell>
          <cell r="J241" t="str">
            <v>Dup</v>
          </cell>
          <cell r="K241" t="str">
            <v xml:space="preserve">[See 234] At "EG Setup" screen input "Eiji Yagi" to get to "Relationship Search" screen, however, RM's name does not appear. </v>
          </cell>
          <cell r="L241" t="str">
            <v>Yagi 4.2.3.doc</v>
          </cell>
          <cell r="M241" t="str">
            <v>-</v>
          </cell>
          <cell r="N241" t="str">
            <v>Duplicate of 234.</v>
          </cell>
        </row>
        <row r="242">
          <cell r="A242">
            <v>241</v>
          </cell>
          <cell r="B242">
            <v>36386</v>
          </cell>
          <cell r="C242" t="str">
            <v>Keith</v>
          </cell>
          <cell r="D242" t="str">
            <v>U</v>
          </cell>
          <cell r="E242" t="str">
            <v>CT</v>
          </cell>
          <cell r="F242" t="str">
            <v>SC</v>
          </cell>
          <cell r="G242" t="str">
            <v>Inq</v>
          </cell>
          <cell r="H242" t="str">
            <v>M</v>
          </cell>
          <cell r="I242" t="str">
            <v>H</v>
          </cell>
          <cell r="J242" t="str">
            <v>Closed</v>
          </cell>
          <cell r="K242" t="str">
            <v xml:space="preserve">[See 265] From "Member Search" with relationships the detail screen indicates that "All figures in JPY" when in fact WHM line items are in USD. Summary line, however, is shown in JPY. </v>
          </cell>
          <cell r="L242" t="str">
            <v>-</v>
          </cell>
          <cell r="M242" t="str">
            <v>Incidents 13_14_16Aug99\Keith\Aoki1.doc</v>
          </cell>
          <cell r="N242" t="str">
            <v>16 Aug 99: Mike is to reproduce this with Keith off-line. 23 Aug 99: Changed from DI and '?' to CT and High. Re-test delivered fix [Sandeep]. 25 Aug 99: Verified fix [Keith].</v>
          </cell>
          <cell r="O242" t="str">
            <v>P1</v>
          </cell>
          <cell r="P242">
            <v>1.3</v>
          </cell>
        </row>
        <row r="243">
          <cell r="A243">
            <v>242</v>
          </cell>
          <cell r="B243">
            <v>36386</v>
          </cell>
          <cell r="C243" t="str">
            <v>Keith</v>
          </cell>
          <cell r="D243" t="str">
            <v>U</v>
          </cell>
          <cell r="E243" t="str">
            <v>NR</v>
          </cell>
          <cell r="F243" t="str">
            <v>PA</v>
          </cell>
          <cell r="G243" t="str">
            <v>Inq</v>
          </cell>
          <cell r="H243" t="str">
            <v>M</v>
          </cell>
          <cell r="I243" t="str">
            <v>H</v>
          </cell>
          <cell r="J243" t="str">
            <v>Auth</v>
          </cell>
          <cell r="K243" t="str">
            <v xml:space="preserve">At the "Home" screen when searching by portfolio number, should have the capability to do a "wild card" search using the initial 8 digits of the portfolio number and all 11 digits should appear on the result screen; including the 3-digit currency code. </v>
          </cell>
          <cell r="L243" t="str">
            <v>-</v>
          </cell>
          <cell r="M243" t="str">
            <v>Incidents 13_14_16Aug99\Keith\Aoki1.doc</v>
          </cell>
          <cell r="N243" t="str">
            <v>Duplicate of 143, however, different priority (11 vs. 34?).</v>
          </cell>
          <cell r="O243" t="str">
            <v>P2</v>
          </cell>
        </row>
        <row r="244">
          <cell r="A244">
            <v>243</v>
          </cell>
          <cell r="B244">
            <v>36388</v>
          </cell>
          <cell r="C244" t="str">
            <v>Helen</v>
          </cell>
          <cell r="D244" t="str">
            <v>U</v>
          </cell>
          <cell r="E244" t="str">
            <v>CT</v>
          </cell>
          <cell r="F244" t="str">
            <v>SC</v>
          </cell>
          <cell r="G244" t="str">
            <v>Inq</v>
          </cell>
          <cell r="H244" t="str">
            <v>S</v>
          </cell>
          <cell r="I244" t="str">
            <v>H</v>
          </cell>
          <cell r="J244" t="str">
            <v>Closed</v>
          </cell>
          <cell r="K244" t="str">
            <v>When attempting to display a relationship (selected from the search results screen of My Team Relationships) that does not have EG setup, the screen seems to “loop” into endless search.</v>
          </cell>
          <cell r="L244" t="str">
            <v>-</v>
          </cell>
          <cell r="M244" t="str">
            <v>Incidents 16Aug99\Helen\16Aug99-retest1.2.doc</v>
          </cell>
          <cell r="N244" t="str">
            <v>23 Aug 99: Fixed in v1.3 [Sandeep]. Verified Fix in v1.3 [Helen].</v>
          </cell>
          <cell r="O244" t="str">
            <v>P1</v>
          </cell>
          <cell r="P244">
            <v>1.3</v>
          </cell>
        </row>
        <row r="245">
          <cell r="A245">
            <v>244</v>
          </cell>
          <cell r="B245">
            <v>36388</v>
          </cell>
          <cell r="C245" t="str">
            <v>Helen</v>
          </cell>
          <cell r="D245" t="str">
            <v>U</v>
          </cell>
          <cell r="E245" t="str">
            <v>CT</v>
          </cell>
          <cell r="F245" t="str">
            <v>SC</v>
          </cell>
          <cell r="G245" t="str">
            <v>Inq</v>
          </cell>
          <cell r="H245" t="str">
            <v>S</v>
          </cell>
          <cell r="I245" t="str">
            <v>H</v>
          </cell>
          <cell r="J245" t="str">
            <v>Closed</v>
          </cell>
          <cell r="K245" t="str">
            <v>After clicking the Search button in the New Item tab of Action Items, the following message was given and the user was logged out subsequently: “Session Terminated”.</v>
          </cell>
          <cell r="L245" t="str">
            <v>-</v>
          </cell>
          <cell r="M245" t="str">
            <v>Incidents 16Aug99\Helen\16Aug99-retest1.2.doc</v>
          </cell>
          <cell r="N245" t="str">
            <v>23 Aug 99: Fixed in v1.3 [Sandeep]. Verified Fix in v1.3 [Helen].</v>
          </cell>
          <cell r="O245" t="str">
            <v>P1</v>
          </cell>
          <cell r="P245">
            <v>1.3</v>
          </cell>
        </row>
        <row r="246">
          <cell r="A246">
            <v>245</v>
          </cell>
          <cell r="B246">
            <v>36389</v>
          </cell>
          <cell r="C246" t="str">
            <v>Andrew</v>
          </cell>
          <cell r="D246" t="str">
            <v>U</v>
          </cell>
          <cell r="E246" t="str">
            <v>DR</v>
          </cell>
          <cell r="F246" t="str">
            <v>AW</v>
          </cell>
          <cell r="G246" t="str">
            <v>Inq</v>
          </cell>
          <cell r="H246" t="str">
            <v>S</v>
          </cell>
          <cell r="I246" t="str">
            <v>H</v>
          </cell>
          <cell r="J246" t="str">
            <v>Closed</v>
          </cell>
          <cell r="K246" t="str">
            <v>The ‘Market Value’ of the Floating Rate Notes should be divided by 1000 because each note consists of 1000 units (i.e.. The ‘Market Value’ should be 250 x 96.52, NOT 250,000 x 96.52).</v>
          </cell>
          <cell r="L246" t="str">
            <v>-</v>
          </cell>
          <cell r="M246" t="str">
            <v>Incidents 17Aug99\Andrew\Aug 17 (am)1.doc</v>
          </cell>
          <cell r="N246" t="str">
            <v>21 Aug 99: Fixed in 8 Aug feed; ready for retest in Cycle 3 [Aegidia] 24 Aug 99: Re-raised by Andrew [Sam]. 25 Aug 99: Verified by Andrew.</v>
          </cell>
          <cell r="O246" t="str">
            <v>P1</v>
          </cell>
        </row>
        <row r="247">
          <cell r="A247">
            <v>246</v>
          </cell>
          <cell r="B247">
            <v>36389</v>
          </cell>
          <cell r="C247" t="str">
            <v>Andrew</v>
          </cell>
          <cell r="D247" t="str">
            <v>U</v>
          </cell>
          <cell r="E247" t="str">
            <v>CT</v>
          </cell>
          <cell r="F247" t="str">
            <v>SC</v>
          </cell>
          <cell r="G247" t="str">
            <v>Inq</v>
          </cell>
          <cell r="H247" t="str">
            <v>M</v>
          </cell>
          <cell r="I247" t="str">
            <v>H</v>
          </cell>
          <cell r="J247" t="str">
            <v>Dup</v>
          </cell>
          <cell r="K247" t="str">
            <v>[See 254, 255] The “Outgoing TPC” shows 0.00 in the “Loanable value” column. MB-Oasis value is shown correctly as evident in the screen shot. Also “Lonable” sic, spelled incorrectly (JR).</v>
          </cell>
          <cell r="L247" t="str">
            <v>-</v>
          </cell>
          <cell r="M247" t="str">
            <v>Incidents 17Aug99\Andrew\Aug 17 (am)1.doc</v>
          </cell>
          <cell r="N247" t="str">
            <v>17 Aug 99: Incident is split into two, see 254, 255. 18 Aug 99: Changed from DR to CT as the value was in feed [Aegidia]. 23 Aug 99: Verified fix in v1.3 [Andrew]. 24 Aug 99: Closed [Sam]</v>
          </cell>
          <cell r="O247" t="str">
            <v>P1</v>
          </cell>
          <cell r="P247">
            <v>1.3</v>
          </cell>
        </row>
        <row r="248">
          <cell r="A248">
            <v>247</v>
          </cell>
          <cell r="B248">
            <v>36389</v>
          </cell>
          <cell r="C248" t="str">
            <v>Andrew</v>
          </cell>
          <cell r="D248" t="str">
            <v>U</v>
          </cell>
          <cell r="E248" t="str">
            <v>CT</v>
          </cell>
          <cell r="F248" t="str">
            <v>SC</v>
          </cell>
          <cell r="G248" t="str">
            <v>Rep</v>
          </cell>
          <cell r="H248" t="str">
            <v>M</v>
          </cell>
          <cell r="I248" t="str">
            <v>H</v>
          </cell>
          <cell r="J248" t="str">
            <v>Closed</v>
          </cell>
          <cell r="K248" t="str">
            <v>After selecting report number 175, i.e., Request No. 175 under “View Report” from top tool bar, “Reports”, received an error message.</v>
          </cell>
          <cell r="L248" t="str">
            <v>-</v>
          </cell>
          <cell r="M248" t="str">
            <v>Incidents 17Aug99\Andrew\Aug 17 (am)1.doc</v>
          </cell>
          <cell r="N248" t="str">
            <v>23 Aug 99: Fixed in v1.3 [Sandeep]. Verified Fix in v1.3 [Andrew].</v>
          </cell>
          <cell r="O248" t="str">
            <v>P1</v>
          </cell>
          <cell r="P248">
            <v>1.3</v>
          </cell>
        </row>
        <row r="249">
          <cell r="A249">
            <v>248</v>
          </cell>
          <cell r="B249">
            <v>36389</v>
          </cell>
          <cell r="C249" t="str">
            <v>Andrew</v>
          </cell>
          <cell r="D249" t="str">
            <v>U</v>
          </cell>
          <cell r="E249" t="str">
            <v>CT</v>
          </cell>
          <cell r="F249" t="str">
            <v>SC</v>
          </cell>
          <cell r="G249" t="str">
            <v>EG</v>
          </cell>
          <cell r="H249" t="str">
            <v>M</v>
          </cell>
          <cell r="I249" t="str">
            <v>H</v>
          </cell>
          <cell r="J249" t="str">
            <v>Dup</v>
          </cell>
          <cell r="K249" t="str">
            <v>[See 80] Related to incident 80, the 2nd screen shows the position after the “Unlink” is authorised. This is even before the Re-link is done. Note that the position in the 2nd screen is the negative of the position in 1st screen.</v>
          </cell>
          <cell r="L249" t="str">
            <v>-</v>
          </cell>
          <cell r="M249" t="str">
            <v>Incidents 17Aug99\Andrew\Aug 17 (am)1.doc</v>
          </cell>
          <cell r="N249" t="str">
            <v>20 Aug 99: Duplicate 0f 80 [Sandeep] 24 Aug 99: Andrew to re-test [Sam]</v>
          </cell>
          <cell r="O249" t="str">
            <v>P1</v>
          </cell>
          <cell r="P249">
            <v>1.3</v>
          </cell>
        </row>
        <row r="250">
          <cell r="A250">
            <v>249</v>
          </cell>
          <cell r="B250">
            <v>36389</v>
          </cell>
          <cell r="C250" t="str">
            <v>Andrew</v>
          </cell>
          <cell r="D250" t="str">
            <v>U</v>
          </cell>
          <cell r="E250" t="str">
            <v>DR</v>
          </cell>
          <cell r="F250" t="str">
            <v>AW</v>
          </cell>
          <cell r="G250" t="str">
            <v>Inq</v>
          </cell>
          <cell r="H250" t="str">
            <v>M</v>
          </cell>
          <cell r="I250" t="str">
            <v>H</v>
          </cell>
          <cell r="J250" t="str">
            <v>Closed</v>
          </cell>
          <cell r="K250" t="str">
            <v>When viewing Current Account information, the “As Of” Date for the first accounts in both screens are missing. Is it because they are both new Current Accounts?</v>
          </cell>
          <cell r="L250" t="str">
            <v>-</v>
          </cell>
          <cell r="M250" t="str">
            <v>Incidents 17Aug99\Andrew\Aug 17 (am)1.doc</v>
          </cell>
          <cell r="N250" t="str">
            <v>21 Aug 99: Fixed in 8 Aug feed; ready for retest in Cycle 3 [Aegidia] 24 Aug 99: Andrew to re-test [Sam] 25 Aug 99: Verified by Andrew.</v>
          </cell>
          <cell r="O250" t="str">
            <v>P1</v>
          </cell>
          <cell r="P250">
            <v>1.3</v>
          </cell>
        </row>
        <row r="251">
          <cell r="A251">
            <v>250</v>
          </cell>
          <cell r="B251">
            <v>36388</v>
          </cell>
          <cell r="C251" t="str">
            <v>Andrew</v>
          </cell>
          <cell r="D251" t="str">
            <v>U</v>
          </cell>
          <cell r="E251" t="str">
            <v>CT</v>
          </cell>
          <cell r="F251" t="str">
            <v>SC</v>
          </cell>
          <cell r="G251" t="str">
            <v>EG</v>
          </cell>
          <cell r="H251" t="str">
            <v>M</v>
          </cell>
          <cell r="I251" t="str">
            <v>H</v>
          </cell>
          <cell r="J251" t="str">
            <v>Closed</v>
          </cell>
          <cell r="K251" t="str">
            <v>The response time for Approval of EG setup is taking a few minutes (done on Aug 16 night). This is not the only EG transaction that is taking this long. Note that the hourglass is missing from the screen.</v>
          </cell>
          <cell r="L251" t="str">
            <v>-</v>
          </cell>
          <cell r="M251" t="str">
            <v>Incidents 17Aug99\Andrew\Aug 16 (pm)1.doc</v>
          </cell>
          <cell r="N251" t="str">
            <v>23 Aug 99: Fixed in v1.3 [Sandeep]. Verified fix in 1.3 [Andrew].</v>
          </cell>
          <cell r="O251" t="str">
            <v>P1</v>
          </cell>
          <cell r="P251">
            <v>1.3</v>
          </cell>
        </row>
        <row r="252">
          <cell r="A252">
            <v>251</v>
          </cell>
          <cell r="B252">
            <v>36388</v>
          </cell>
          <cell r="C252" t="str">
            <v>Andrew</v>
          </cell>
          <cell r="D252" t="str">
            <v>U</v>
          </cell>
          <cell r="E252" t="str">
            <v>CT</v>
          </cell>
          <cell r="F252" t="str">
            <v>SC</v>
          </cell>
          <cell r="G252" t="str">
            <v>EG</v>
          </cell>
          <cell r="H252" t="str">
            <v>M</v>
          </cell>
          <cell r="I252" t="str">
            <v>H</v>
          </cell>
          <cell r="J252" t="str">
            <v>Closed</v>
          </cell>
          <cell r="K252" t="str">
            <v>When the EG setup was rejected on Aug 16, 99 and a report for “Rejected” transaction is generated, it shows there are no entries.</v>
          </cell>
          <cell r="L252" t="str">
            <v>-</v>
          </cell>
          <cell r="M252" t="str">
            <v>Incidents 17Aug99\Andrew\Aug 16 (pm)1.doc</v>
          </cell>
          <cell r="N252" t="str">
            <v>23 Aug 99: Fixed in v1.3 [Sandeep]. Verified fix in 1.3 [Andrew].</v>
          </cell>
          <cell r="O252" t="str">
            <v>P1</v>
          </cell>
          <cell r="P252">
            <v>1.3</v>
          </cell>
        </row>
        <row r="253">
          <cell r="A253">
            <v>252</v>
          </cell>
          <cell r="B253">
            <v>36388</v>
          </cell>
          <cell r="C253" t="str">
            <v>Andrew</v>
          </cell>
          <cell r="D253" t="str">
            <v>U</v>
          </cell>
          <cell r="E253" t="str">
            <v>UT</v>
          </cell>
          <cell r="F253" t="str">
            <v>PA</v>
          </cell>
          <cell r="G253" t="str">
            <v>Inq</v>
          </cell>
          <cell r="H253" t="str">
            <v>M</v>
          </cell>
          <cell r="I253" t="str">
            <v>H</v>
          </cell>
          <cell r="J253" t="str">
            <v>Closed</v>
          </cell>
          <cell r="K253" t="str">
            <v>The “Net Assets &amp; Liabs” at the top quadrant is different from the “Net Assets and Liabilities” in the “Location Details”.</v>
          </cell>
          <cell r="L253" t="str">
            <v>-</v>
          </cell>
          <cell r="M253" t="str">
            <v>Incidents 17Aug99\Andrew\Aug 16 (pm)1.doc</v>
          </cell>
          <cell r="N253" t="str">
            <v>24 Aug 99: Changed from UT to CT [Sam]. Changed from CT to UT [Sandeep]. 25 Aug 99: The Net Assets &amp; Liabs at the top quadrant is for the entire relationship which could be different form the 'Location Details". Andrew, please confirm otherwise [Sam]. Ver</v>
          </cell>
          <cell r="O253" t="str">
            <v>P1</v>
          </cell>
          <cell r="P253">
            <v>1.3</v>
          </cell>
        </row>
        <row r="254">
          <cell r="A254">
            <v>253</v>
          </cell>
          <cell r="B254">
            <v>36388</v>
          </cell>
          <cell r="C254" t="str">
            <v>Andrew</v>
          </cell>
          <cell r="D254" t="str">
            <v>U</v>
          </cell>
          <cell r="E254" t="str">
            <v>DI</v>
          </cell>
          <cell r="F254" t="str">
            <v>PA</v>
          </cell>
          <cell r="G254" t="str">
            <v>Cor</v>
          </cell>
          <cell r="H254" t="str">
            <v>M</v>
          </cell>
          <cell r="I254" t="str">
            <v>H</v>
          </cell>
          <cell r="J254" t="str">
            <v>Closed</v>
          </cell>
          <cell r="K254" t="str">
            <v>When clicking on “Informatics Holdings Ltd”, “could not establish connection with product processor” SBOS.</v>
          </cell>
          <cell r="M254" t="str">
            <v>Incidents 17Aug99\Andrew\Aug 16 (pm)1.doc</v>
          </cell>
          <cell r="N254" t="str">
            <v xml:space="preserve">23 Aug 99: Reproduce incident [Sam]. Verified fix in 1.3 [Andrew]. </v>
          </cell>
          <cell r="O254" t="str">
            <v>P1</v>
          </cell>
          <cell r="P254">
            <v>1.3</v>
          </cell>
        </row>
        <row r="255">
          <cell r="A255">
            <v>254</v>
          </cell>
          <cell r="B255">
            <v>36389</v>
          </cell>
          <cell r="C255" t="str">
            <v>Andrew</v>
          </cell>
          <cell r="D255" t="str">
            <v>U</v>
          </cell>
          <cell r="E255" t="str">
            <v>CT</v>
          </cell>
          <cell r="F255" t="str">
            <v>SC</v>
          </cell>
          <cell r="G255" t="str">
            <v>Inq</v>
          </cell>
          <cell r="H255" t="str">
            <v>M</v>
          </cell>
          <cell r="I255" t="str">
            <v>H</v>
          </cell>
          <cell r="J255" t="str">
            <v>Closed</v>
          </cell>
          <cell r="K255" t="str">
            <v>[See 246] The “Outgoing TPC” shows 0.00 in the “Loanable value” column. MB-Oasis value is shown correctly as evident in the screen shot.</v>
          </cell>
          <cell r="L255" t="str">
            <v>-</v>
          </cell>
          <cell r="M255" t="str">
            <v>Incidents 17Aug99\Andrew\Aug 17 (am)1.doc</v>
          </cell>
          <cell r="N255" t="str">
            <v>18 Aug 99: Changed from DR to CT as the value was in feed [Aegidia]. 18 Aug 99: Fixed today [Manish]. 23 Aug 99: Verified fix in v1.3 [Andrew].</v>
          </cell>
          <cell r="O255" t="str">
            <v>P1</v>
          </cell>
          <cell r="P255">
            <v>1.3</v>
          </cell>
        </row>
        <row r="256">
          <cell r="A256">
            <v>255</v>
          </cell>
          <cell r="B256">
            <v>36389</v>
          </cell>
          <cell r="C256" t="str">
            <v>Andrew</v>
          </cell>
          <cell r="D256" t="str">
            <v>U</v>
          </cell>
          <cell r="E256" t="str">
            <v>CT</v>
          </cell>
          <cell r="F256" t="str">
            <v>SC</v>
          </cell>
          <cell r="G256" t="str">
            <v>Inq</v>
          </cell>
          <cell r="H256" t="str">
            <v>M</v>
          </cell>
          <cell r="I256" t="str">
            <v>H</v>
          </cell>
          <cell r="J256" t="str">
            <v>Closed</v>
          </cell>
          <cell r="K256" t="str">
            <v>[See 246] (The “Outgoing TPC” shows 0.00 in the “Loanable value” column. MB-Oasis value is shown correctly as evident in the screen shot.) Also “Lonable” sic, spelled incorrectly (JR).</v>
          </cell>
          <cell r="L256" t="str">
            <v>-</v>
          </cell>
          <cell r="M256" t="str">
            <v>Incidents 17Aug99\Andrew\Aug 17 (am)1.doc</v>
          </cell>
          <cell r="N256" t="str">
            <v>23 Aug 99: Fixed in v1.3 [Sandeep]. Verified fix in 1.3 [Andrew].</v>
          </cell>
          <cell r="O256" t="str">
            <v>P1</v>
          </cell>
          <cell r="P256">
            <v>1.3</v>
          </cell>
        </row>
        <row r="257">
          <cell r="A257">
            <v>256</v>
          </cell>
          <cell r="B257">
            <v>36390</v>
          </cell>
          <cell r="C257" t="str">
            <v>Helen</v>
          </cell>
          <cell r="D257" t="str">
            <v>U</v>
          </cell>
          <cell r="E257" t="str">
            <v>NR</v>
          </cell>
          <cell r="F257" t="str">
            <v>PA</v>
          </cell>
          <cell r="G257" t="str">
            <v>Inq</v>
          </cell>
          <cell r="H257" t="str">
            <v>L</v>
          </cell>
          <cell r="I257" t="str">
            <v>L</v>
          </cell>
          <cell r="J257" t="str">
            <v>Auth</v>
          </cell>
          <cell r="K257" t="str">
            <v>The field description for member/relationship last name is different for different modules. In Action Items, it is called “Last Name/ Legal Title” (below). In EG Setup, it is called “Family Name/ Legal Title” (page 7). In Home screen, it is called “Last/F</v>
          </cell>
          <cell r="L257" t="str">
            <v>-</v>
          </cell>
          <cell r="M257" t="str">
            <v>Incidents 18Aug99\Helen\18Aug99-retest1.2.doc</v>
          </cell>
          <cell r="O257" t="str">
            <v>P2</v>
          </cell>
        </row>
        <row r="258">
          <cell r="A258">
            <v>257</v>
          </cell>
          <cell r="B258">
            <v>36390</v>
          </cell>
          <cell r="C258" t="str">
            <v>Helen</v>
          </cell>
          <cell r="D258" t="str">
            <v>U</v>
          </cell>
          <cell r="E258" t="str">
            <v>CT</v>
          </cell>
          <cell r="F258" t="str">
            <v>SC</v>
          </cell>
          <cell r="G258" t="str">
            <v>Inq</v>
          </cell>
          <cell r="H258" t="str">
            <v>M</v>
          </cell>
          <cell r="I258" t="str">
            <v>H</v>
          </cell>
          <cell r="J258" t="str">
            <v>Dup</v>
          </cell>
          <cell r="K258" t="str">
            <v>In the "Current Account” screen, the “as of date/time” should be the latest date and time at which the available balance is updated and not the last business date on which interest was booked to the account.</v>
          </cell>
          <cell r="L258" t="str">
            <v>-</v>
          </cell>
          <cell r="M258" t="str">
            <v>Incidents 18Aug99\Helen\18Aug99-cycle2.doc</v>
          </cell>
          <cell r="N258" t="str">
            <v>24 Aug 99: Changed to CT and duplicate [Sam]</v>
          </cell>
        </row>
        <row r="259">
          <cell r="A259">
            <v>258</v>
          </cell>
          <cell r="B259">
            <v>36390</v>
          </cell>
          <cell r="C259" t="str">
            <v>Sam</v>
          </cell>
          <cell r="D259" t="str">
            <v>U</v>
          </cell>
          <cell r="E259" t="str">
            <v>NR</v>
          </cell>
          <cell r="F259" t="str">
            <v>PA</v>
          </cell>
          <cell r="G259" t="str">
            <v>Inq</v>
          </cell>
          <cell r="H259" t="str">
            <v>M</v>
          </cell>
          <cell r="I259" t="str">
            <v>H</v>
          </cell>
          <cell r="J259" t="str">
            <v>Auth</v>
          </cell>
          <cell r="K259" t="str">
            <v>It is a major oversight in the original design that we missed the feed from Jersey. Today we have more than 50 relationships with bookings in Jersey. Given the interest of time, to include the feed from Jersey in Phase 1 seems unrealistic.</v>
          </cell>
          <cell r="L259" t="str">
            <v>-</v>
          </cell>
          <cell r="M259" t="str">
            <v>-</v>
          </cell>
          <cell r="N259" t="str">
            <v>18 Aug 99: Peter, I understand that EMEA is currently consolidating its booking offices and that they want London to be the major booking center in the UK. Could you check with Gordon Best on this so that we could decide what the next steps should be [Sam</v>
          </cell>
          <cell r="O259" t="str">
            <v>P2</v>
          </cell>
        </row>
        <row r="260">
          <cell r="A260">
            <v>259</v>
          </cell>
          <cell r="B260">
            <v>36390</v>
          </cell>
          <cell r="C260" t="str">
            <v>Andrew</v>
          </cell>
          <cell r="D260" t="str">
            <v>U</v>
          </cell>
          <cell r="E260" t="str">
            <v>DR</v>
          </cell>
          <cell r="F260" t="str">
            <v>AW</v>
          </cell>
          <cell r="G260" t="str">
            <v>Inq</v>
          </cell>
          <cell r="H260" t="str">
            <v>S</v>
          </cell>
          <cell r="I260" t="str">
            <v>H</v>
          </cell>
          <cell r="J260" t="str">
            <v>Closed</v>
          </cell>
          <cell r="K260" t="str">
            <v>This is a Systematics Singapore account. The ref ccy cannot be JPY. Could it be mixed with Systematics Japan?</v>
          </cell>
          <cell r="L260" t="str">
            <v>-</v>
          </cell>
          <cell r="M260" t="str">
            <v>SCREEN SHOTS\Incidents 18 Aug\ANDREW\Aug 18_SCREEN SHOTS.doc</v>
          </cell>
          <cell r="N260" t="str">
            <v>24 Aug 99: Andrew to re-test [Sam]. Fixed, ready for re-test [Aegidia]. 25 Aug 99: Verified by Andrew.</v>
          </cell>
          <cell r="O260" t="str">
            <v>P1</v>
          </cell>
          <cell r="P260">
            <v>1.3</v>
          </cell>
        </row>
        <row r="261">
          <cell r="A261">
            <v>260</v>
          </cell>
          <cell r="B261">
            <v>36390</v>
          </cell>
          <cell r="C261" t="str">
            <v>Andrew</v>
          </cell>
          <cell r="D261" t="str">
            <v>U</v>
          </cell>
          <cell r="E261" t="str">
            <v>DR</v>
          </cell>
          <cell r="F261" t="str">
            <v>AW</v>
          </cell>
          <cell r="G261" t="str">
            <v>Inq</v>
          </cell>
          <cell r="H261" t="str">
            <v>S</v>
          </cell>
          <cell r="I261" t="str">
            <v>H</v>
          </cell>
          <cell r="J261" t="str">
            <v>Closed</v>
          </cell>
          <cell r="K261" t="str">
            <v>The “ACA line” is wrong. It should be 500,000.00 (five hundred thousand), and not 50,000,000 (fifty million).</v>
          </cell>
          <cell r="L261" t="str">
            <v>-</v>
          </cell>
          <cell r="M261" t="str">
            <v>SCREEN SHOTS\Incidents 18 Aug\ANDREW\Aug 18_SCREEN SHOTS.doc</v>
          </cell>
          <cell r="N261" t="str">
            <v>21 Aug 99: Fixed in 8 Aug feed; ready for retest in Cycle 3 [Aegidia] 24 Aug 99: Andrew to re-test [Sam] 25 Aug 99: Verified by Andrew.</v>
          </cell>
          <cell r="O261" t="str">
            <v>P1</v>
          </cell>
          <cell r="P261">
            <v>1.3</v>
          </cell>
        </row>
        <row r="262">
          <cell r="A262">
            <v>261</v>
          </cell>
          <cell r="B262">
            <v>36390</v>
          </cell>
          <cell r="C262" t="str">
            <v>Andrew</v>
          </cell>
          <cell r="D262" t="str">
            <v>U</v>
          </cell>
          <cell r="E262" t="str">
            <v>CT</v>
          </cell>
          <cell r="F262" t="str">
            <v>SC</v>
          </cell>
          <cell r="G262" t="str">
            <v>SCL</v>
          </cell>
          <cell r="H262" t="str">
            <v>L</v>
          </cell>
          <cell r="I262" t="str">
            <v>M</v>
          </cell>
          <cell r="J262" t="str">
            <v>Closed</v>
          </cell>
          <cell r="K262" t="str">
            <v>[See 295] The system accepted an action item that is created with a future time (later than online time).</v>
          </cell>
          <cell r="L262" t="str">
            <v>-</v>
          </cell>
          <cell r="M262" t="str">
            <v>SCREEN SHOTS\Incidents 18 Aug\ANDREW\Aug 18_SCREEN SHOTS.doc</v>
          </cell>
          <cell r="N262" t="str">
            <v>23 Aug 99: Fixed in v1.3 [Sandeep]. Verified fix in 1.3 [Andrew].</v>
          </cell>
          <cell r="O262" t="str">
            <v>P1</v>
          </cell>
          <cell r="P262">
            <v>1.3</v>
          </cell>
        </row>
        <row r="263">
          <cell r="A263">
            <v>262</v>
          </cell>
          <cell r="B263">
            <v>36390</v>
          </cell>
          <cell r="C263" t="str">
            <v>Andrew</v>
          </cell>
          <cell r="D263" t="str">
            <v>U</v>
          </cell>
          <cell r="E263" t="str">
            <v>NR</v>
          </cell>
          <cell r="F263" t="str">
            <v>PA</v>
          </cell>
          <cell r="G263" t="str">
            <v>SCL</v>
          </cell>
          <cell r="H263" t="str">
            <v>L</v>
          </cell>
          <cell r="I263" t="str">
            <v>L</v>
          </cell>
          <cell r="J263" t="str">
            <v>Auth</v>
          </cell>
          <cell r="K263" t="str">
            <v>The “View History – View Logs” screen should be sorted with the latest transaction (based on contact date) at the top, and the oldest at the bottom.</v>
          </cell>
          <cell r="L263" t="str">
            <v>-</v>
          </cell>
          <cell r="M263" t="str">
            <v>SCREEN SHOTS\Incidents 18 Aug\ANDREW\Aug 18_SCREEN SHOTS.doc</v>
          </cell>
          <cell r="N263" t="str">
            <v>19 Aug 99: Currently, it is sorted by Target Date [Sandeep]. 24 Aug 99: Changed to SCL and low priority [Sam]</v>
          </cell>
          <cell r="O263" t="str">
            <v>P2</v>
          </cell>
        </row>
        <row r="264">
          <cell r="A264">
            <v>263</v>
          </cell>
          <cell r="B264">
            <v>36390</v>
          </cell>
          <cell r="C264" t="str">
            <v>Andrew</v>
          </cell>
          <cell r="D264" t="str">
            <v>U</v>
          </cell>
          <cell r="E264" t="str">
            <v>NR</v>
          </cell>
          <cell r="F264" t="str">
            <v>PA</v>
          </cell>
          <cell r="G264" t="str">
            <v>SCL</v>
          </cell>
          <cell r="H264" t="str">
            <v>L</v>
          </cell>
          <cell r="I264" t="str">
            <v>M</v>
          </cell>
          <cell r="J264" t="str">
            <v>Auth</v>
          </cell>
          <cell r="K264" t="str">
            <v xml:space="preserve">In the “View History – View Logs” screen, there should be a column showing the “Relationship Head”. This is very helpful especially when the user does a wild card search from the “Action Item” home screen. With the relationship head shown, the user would </v>
          </cell>
          <cell r="L264" t="str">
            <v>-</v>
          </cell>
          <cell r="M264" t="str">
            <v>SCREEN SHOTS\Incidents 18 Aug\ANDREW\Aug 18_SCREEN SHOTS.doc</v>
          </cell>
          <cell r="N264" t="str">
            <v>24 Aug 99: Changed to SCL [Sam]</v>
          </cell>
          <cell r="O264" t="str">
            <v>P2</v>
          </cell>
        </row>
        <row r="265">
          <cell r="A265">
            <v>264</v>
          </cell>
          <cell r="B265">
            <v>36390</v>
          </cell>
          <cell r="C265" t="str">
            <v>Andrew</v>
          </cell>
          <cell r="D265" t="str">
            <v>U</v>
          </cell>
          <cell r="E265" t="str">
            <v>NR</v>
          </cell>
          <cell r="F265" t="str">
            <v>PA</v>
          </cell>
          <cell r="G265" t="str">
            <v>Inq</v>
          </cell>
          <cell r="H265" t="str">
            <v>L</v>
          </cell>
          <cell r="I265" t="str">
            <v>M</v>
          </cell>
          <cell r="J265" t="str">
            <v>Auth</v>
          </cell>
          <cell r="K265" t="str">
            <v>At the “View History – View Logs” screen, there should be a “back” option (either button or the bottom tool bar beside the Home bar). When “back” is selected, it should bring the user back to the “Action Item” screen with the last chosen tab highlighted (</v>
          </cell>
          <cell r="L265" t="str">
            <v>-</v>
          </cell>
          <cell r="M265" t="str">
            <v>SCREEN SHOTS\Incidents 18 Aug\ANDREW\Aug 18_SCREEN SHOTS.doc</v>
          </cell>
          <cell r="N265" t="str">
            <v>19 Aug 99: Sandeep to speak to Andrew. 24 Aug 99: Changed to SCL [Sam]</v>
          </cell>
          <cell r="O265" t="str">
            <v>P2</v>
          </cell>
        </row>
        <row r="266">
          <cell r="A266">
            <v>265</v>
          </cell>
          <cell r="B266">
            <v>36390</v>
          </cell>
          <cell r="C266" t="str">
            <v>Andrew</v>
          </cell>
          <cell r="D266" t="str">
            <v>U</v>
          </cell>
          <cell r="E266" t="str">
            <v>CT</v>
          </cell>
          <cell r="F266" t="str">
            <v>SC</v>
          </cell>
          <cell r="G266" t="str">
            <v>Inq</v>
          </cell>
          <cell r="H266" t="str">
            <v>X</v>
          </cell>
          <cell r="I266" t="str">
            <v>X</v>
          </cell>
          <cell r="J266" t="str">
            <v>Dup</v>
          </cell>
          <cell r="K266" t="str">
            <v>[See 241] The reference ccy is shown as “USD” on this screen, however, the figure in LEG HK shows 407,274,78. The screen that follows shows the reference ccy as HK and the amount is also 407,274.78. Consequently, one of these is incorrect.</v>
          </cell>
          <cell r="L266" t="str">
            <v>-</v>
          </cell>
          <cell r="M266" t="str">
            <v>SCREEN SHOTS\Incidents 18 Aug\ANDREW\Aug 18_SCREEN SHOTS.doc</v>
          </cell>
          <cell r="N266" t="str">
            <v>19 Aug 99: Duplicate. 24 Aug 99: Changed to "X"; SHOW STOPPER [Sam]. Fixed with Incident 241; ready for re-test [Sandeep]. 25 Aug 99: Andrew to retest [Sam] 25 Aug 99: Verified by Andrew - closed.</v>
          </cell>
          <cell r="O266" t="str">
            <v>P1</v>
          </cell>
          <cell r="P266">
            <v>1.3</v>
          </cell>
        </row>
        <row r="267">
          <cell r="A267">
            <v>266</v>
          </cell>
          <cell r="B267">
            <v>36390</v>
          </cell>
          <cell r="C267" t="str">
            <v>Andrew</v>
          </cell>
          <cell r="D267" t="str">
            <v>U</v>
          </cell>
          <cell r="E267" t="str">
            <v>CT</v>
          </cell>
          <cell r="F267" t="str">
            <v>SC</v>
          </cell>
          <cell r="G267" t="str">
            <v>Inq</v>
          </cell>
          <cell r="H267" t="str">
            <v>M</v>
          </cell>
          <cell r="I267" t="str">
            <v>H</v>
          </cell>
          <cell r="J267" t="str">
            <v>Closed</v>
          </cell>
          <cell r="K267" t="str">
            <v>The last line in the first screen is fully displayed, i.e., “Total Outstanding in Ref CCY (USD)”. However, on the 2nd screen, this display is truncated.</v>
          </cell>
          <cell r="L267" t="str">
            <v>-</v>
          </cell>
          <cell r="M267" t="str">
            <v>SCREEN SHOTS\Incidents 18 Aug\ANDREW\Aug 18_SCREEN SHOTS.doc</v>
          </cell>
          <cell r="N267" t="str">
            <v>30 Aug 99: Verified fix in 1.4 [Andrew].</v>
          </cell>
          <cell r="O267" t="str">
            <v>P1</v>
          </cell>
          <cell r="P267">
            <v>1.4</v>
          </cell>
        </row>
        <row r="268">
          <cell r="A268">
            <v>267</v>
          </cell>
          <cell r="B268">
            <v>36390</v>
          </cell>
          <cell r="C268" t="str">
            <v>Andrew</v>
          </cell>
          <cell r="D268" t="str">
            <v>U</v>
          </cell>
          <cell r="E268" t="str">
            <v>DR</v>
          </cell>
          <cell r="F268" t="str">
            <v>AW</v>
          </cell>
          <cell r="G268" t="str">
            <v>Inq</v>
          </cell>
          <cell r="H268" t="str">
            <v>M</v>
          </cell>
          <cell r="I268" t="str">
            <v>H</v>
          </cell>
          <cell r="J268" t="str">
            <v>Closed</v>
          </cell>
          <cell r="K268" t="str">
            <v>The Market Value of the Floating Rate Note should be divided by 100, eg. For the 1st holdings the market value should be 1,000,000 x 91.37 / 100 = 913,700.00. However, in CSP the calculation for Bonds market value is correct, this might help to identify t</v>
          </cell>
          <cell r="L268" t="str">
            <v>-</v>
          </cell>
          <cell r="M268" t="str">
            <v>SCREEN SHOTS\Incidents 18 Aug\ANDREW\Aug 18_SCREEN SHOTS.doc</v>
          </cell>
          <cell r="N268" t="str">
            <v>18 Aug: This is similar to incident raised on Aug 17, please close the one on Aug 17.[Andrew] 21 Aug 99: Fixed in 8 Aug feed; ready for retest in Cycle 3 [Aegidia] 24 Aug 99: Andrew to re-test [Sam] 31 Aug 99: Verified by Andrew in v1.4.</v>
          </cell>
          <cell r="O268" t="str">
            <v>P1</v>
          </cell>
          <cell r="P268">
            <v>1.3</v>
          </cell>
        </row>
        <row r="269">
          <cell r="A269">
            <v>268</v>
          </cell>
          <cell r="B269">
            <v>36390</v>
          </cell>
          <cell r="C269" t="str">
            <v>Andrew</v>
          </cell>
          <cell r="D269" t="str">
            <v>U</v>
          </cell>
          <cell r="E269" t="str">
            <v>DR</v>
          </cell>
          <cell r="F269" t="str">
            <v>AW</v>
          </cell>
          <cell r="G269" t="str">
            <v>Inq</v>
          </cell>
          <cell r="H269" t="str">
            <v>S</v>
          </cell>
          <cell r="I269" t="str">
            <v>H</v>
          </cell>
          <cell r="J269" t="str">
            <v>Closed</v>
          </cell>
          <cell r="K269" t="str">
            <v>The HAM indicator is wrong. It should be “Y”, per SBOS CARD screen (top right hand corner, line below “address”). If the number is 2100, it is HAM=Y for Singapore. If the number is 2300, it is HAM=Y for Hong Kong. If the number is 0000, it is HAM=N for bo</v>
          </cell>
          <cell r="L269" t="str">
            <v>-</v>
          </cell>
          <cell r="M269" t="str">
            <v>SCREEN SHOTS\Incidents 18 Aug\ANDREW\Aug 18_SCREEN SHOTS.doc</v>
          </cell>
          <cell r="N269" t="str">
            <v>21 Aug 99: Fixed in 8 Aug feed; ready for retest in Cycle 3 [Aegidia] 24 Aug 99: Andrew to re-test [Sam] 31 Aug 99: Re-raised by Andrew in v1.4. 2 Sept 99: The HAM flag for SBOS Singapore base 762702 was 'Y' in the feed. Andrew reported that it is shown a</v>
          </cell>
          <cell r="O269" t="str">
            <v>P1</v>
          </cell>
          <cell r="P269">
            <v>1.3</v>
          </cell>
        </row>
        <row r="270">
          <cell r="A270">
            <v>269</v>
          </cell>
          <cell r="B270">
            <v>36390</v>
          </cell>
          <cell r="C270" t="str">
            <v>Andrew</v>
          </cell>
          <cell r="D270" t="str">
            <v>U</v>
          </cell>
          <cell r="E270" t="str">
            <v>UT</v>
          </cell>
          <cell r="F270" t="str">
            <v>PA</v>
          </cell>
          <cell r="G270" t="str">
            <v>Inq</v>
          </cell>
          <cell r="H270" t="str">
            <v>L</v>
          </cell>
          <cell r="I270" t="str">
            <v>M</v>
          </cell>
          <cell r="J270" t="str">
            <v>Dup</v>
          </cell>
          <cell r="K270" t="str">
            <v>[See 39] Mouse Over: The mouse-over display is partially hidden if the cursor is moved from the top, but is fully displayed when it is moved from the bottom.</v>
          </cell>
          <cell r="L270" t="str">
            <v>-</v>
          </cell>
          <cell r="M270" t="str">
            <v>SCREEN SHOTS\Incidents 18 Aug\ANDREW\Aug 18_SCREEN SHOTS.doc</v>
          </cell>
          <cell r="N270" t="str">
            <v>19 Aug 99: Duplicate. 24 Aug 99: Changed to CT [Sam]. Changed from CT to UT [Sandeep]. 25 Aug 99: Keep as UT for now [Sam].</v>
          </cell>
          <cell r="O270" t="str">
            <v>P1</v>
          </cell>
          <cell r="P270">
            <v>1.3</v>
          </cell>
        </row>
        <row r="271">
          <cell r="A271">
            <v>270</v>
          </cell>
          <cell r="B271">
            <v>36391</v>
          </cell>
          <cell r="C271" t="str">
            <v>Miranda</v>
          </cell>
          <cell r="D271" t="str">
            <v>U</v>
          </cell>
          <cell r="E271" t="str">
            <v>CT</v>
          </cell>
          <cell r="F271" t="str">
            <v>SC</v>
          </cell>
          <cell r="G271" t="str">
            <v>EG</v>
          </cell>
          <cell r="H271" t="str">
            <v>M</v>
          </cell>
          <cell r="I271" t="str">
            <v>H</v>
          </cell>
          <cell r="J271" t="str">
            <v>Closed</v>
          </cell>
          <cell r="K271" t="str">
            <v>When adding a link to LEG, a message “Base No. 303103 Not Available” is displayed although the account is valid in production.</v>
          </cell>
          <cell r="L271" t="str">
            <v>-</v>
          </cell>
          <cell r="M271" t="str">
            <v>..\SCREEN SHOTS\Incidents 26 Aug\Miranda\CSP UAT Incidents on Aug. 24 - MC.doc</v>
          </cell>
          <cell r="N271" t="str">
            <v xml:space="preserve">23 Aug 99: Fixed in v1.3 [Sandeep]. 24 Aug 99: Miranda to re-test [Sam] 26 Aug 99: Passed; but still don’t understand why the above message was displayed as this is not a new account.[Miranda]
</v>
          </cell>
          <cell r="O271" t="str">
            <v>P1</v>
          </cell>
          <cell r="P271">
            <v>1.3</v>
          </cell>
        </row>
        <row r="272">
          <cell r="A272">
            <v>271</v>
          </cell>
          <cell r="B272">
            <v>36391</v>
          </cell>
          <cell r="C272" t="str">
            <v>Miranda</v>
          </cell>
          <cell r="D272" t="str">
            <v>U</v>
          </cell>
          <cell r="E272" t="str">
            <v>CT</v>
          </cell>
          <cell r="F272" t="str">
            <v>SC</v>
          </cell>
          <cell r="G272" t="str">
            <v>EG</v>
          </cell>
          <cell r="H272" t="str">
            <v>M</v>
          </cell>
          <cell r="I272" t="str">
            <v>H</v>
          </cell>
          <cell r="J272" t="str">
            <v>Closed</v>
          </cell>
          <cell r="K272" t="str">
            <v>The “An error has occurred” message is displayed when linking an account number in LEG and pressing “Enter” (not clicking Save).</v>
          </cell>
          <cell r="L272" t="str">
            <v>-</v>
          </cell>
          <cell r="M272" t="str">
            <v>..\SCREEN SHOTS\Incidents 26 Aug\Miranda\CSP UAT Incidents on Aug. 24 - MC.doc</v>
          </cell>
          <cell r="N272" t="str">
            <v>23 Aug 99: Fixed in v1.3 [Sandeep]. 24 Aug 99: Miranda to re-test [Sam]. 26 Aug 99: Re-test failed [Miranda]. 30 Aug 99: Fix verified in v 1.4 [Miranda].</v>
          </cell>
          <cell r="O272" t="str">
            <v>P1</v>
          </cell>
          <cell r="P272">
            <v>1.4</v>
          </cell>
        </row>
        <row r="273">
          <cell r="A273">
            <v>272</v>
          </cell>
          <cell r="B273">
            <v>36391</v>
          </cell>
          <cell r="C273" t="str">
            <v>Miranda</v>
          </cell>
          <cell r="D273" t="str">
            <v>U</v>
          </cell>
          <cell r="E273" t="str">
            <v>UT</v>
          </cell>
          <cell r="F273" t="str">
            <v>PA</v>
          </cell>
          <cell r="G273" t="str">
            <v>Inq</v>
          </cell>
          <cell r="H273" t="str">
            <v>L</v>
          </cell>
          <cell r="I273" t="str">
            <v>M</v>
          </cell>
          <cell r="J273" t="str">
            <v>Closed</v>
          </cell>
          <cell r="K273" t="str">
            <v>In the “Other Funds” screen’s “23A’ column, what does the entry “Y” mean? Does it mean that the approval is obtained or that 23A is available? In production, not all of the 23A shown in the screen shot were approved.</v>
          </cell>
          <cell r="L273" t="str">
            <v>-</v>
          </cell>
          <cell r="M273" t="str">
            <v>Incidents 19Aug99\Miranda\CSP UAT INCIDENTS - Aug. 19 - MC.doc</v>
          </cell>
          <cell r="N273" t="str">
            <v>20 Aug 99: Changed from CT to DI [Sandeep]. 23 Aug 99: Changed from DI to UT and closed incident.</v>
          </cell>
          <cell r="O273" t="str">
            <v>P1</v>
          </cell>
          <cell r="P273">
            <v>1.3</v>
          </cell>
        </row>
        <row r="274">
          <cell r="A274">
            <v>273</v>
          </cell>
          <cell r="B274">
            <v>36391</v>
          </cell>
          <cell r="C274" t="str">
            <v>Miranda</v>
          </cell>
          <cell r="D274" t="str">
            <v>U</v>
          </cell>
          <cell r="E274" t="str">
            <v>CT</v>
          </cell>
          <cell r="F274" t="str">
            <v>SC</v>
          </cell>
          <cell r="G274" t="str">
            <v>Inq</v>
          </cell>
          <cell r="H274" t="str">
            <v>M</v>
          </cell>
          <cell r="I274" t="str">
            <v>H</v>
          </cell>
          <cell r="J274" t="str">
            <v>Closed</v>
          </cell>
          <cell r="K274" t="str">
            <v>Clicking Back button from “Floating Rates Notes” screen sometimes takes more than 1 minute go back to the previous screen (but this does not always happened).</v>
          </cell>
          <cell r="L274" t="str">
            <v>-</v>
          </cell>
          <cell r="M274" t="str">
            <v>Incidents 19Aug99\Miranda\CSP UAT INCIDENTS - Aug. 19 - MC.doc</v>
          </cell>
          <cell r="N274" t="str">
            <v>23 Aug 99: Fixed in v1.3 [Sandeep]. 24 Aug 99: Miranda to re-test [Sam] 26 Aug 99: Verified by Miranda</v>
          </cell>
          <cell r="O274" t="str">
            <v>P1</v>
          </cell>
          <cell r="P274">
            <v>1.3</v>
          </cell>
        </row>
        <row r="275">
          <cell r="A275">
            <v>274</v>
          </cell>
          <cell r="B275">
            <v>36391</v>
          </cell>
          <cell r="C275" t="str">
            <v>Iida</v>
          </cell>
          <cell r="D275" t="str">
            <v>U</v>
          </cell>
          <cell r="E275" t="str">
            <v>NR</v>
          </cell>
          <cell r="F275" t="str">
            <v>PA</v>
          </cell>
          <cell r="G275" t="str">
            <v>Inq</v>
          </cell>
          <cell r="H275" t="str">
            <v>M</v>
          </cell>
          <cell r="I275" t="str">
            <v>H</v>
          </cell>
          <cell r="J275" t="str">
            <v>Auth</v>
          </cell>
          <cell r="K275" t="str">
            <v xml:space="preserve">In the Portfolio Details screen, under Assets, Short Term Investment, Time Deposit: (1) Actual Results = Balance of Time Deposit display under the “Market Value” bar including gross interest at the maturity. (2) Preferred = Balance of Time Deposit should </v>
          </cell>
          <cell r="L275" t="str">
            <v>-</v>
          </cell>
          <cell r="M275" t="str">
            <v>Incidents 19Aug99\Iida\request.doc</v>
          </cell>
          <cell r="N275" t="str">
            <v>Should be ranked higher [Keith]; Can be deferred to Phase 2 [Veronica].</v>
          </cell>
          <cell r="O275" t="str">
            <v>P2</v>
          </cell>
        </row>
        <row r="276">
          <cell r="A276">
            <v>275</v>
          </cell>
          <cell r="B276">
            <v>36391</v>
          </cell>
          <cell r="C276" t="str">
            <v>Iida</v>
          </cell>
          <cell r="D276" t="str">
            <v>U</v>
          </cell>
          <cell r="E276" t="str">
            <v>CT</v>
          </cell>
          <cell r="F276" t="str">
            <v>SC</v>
          </cell>
          <cell r="G276" t="str">
            <v>Inq</v>
          </cell>
          <cell r="H276" t="str">
            <v>M</v>
          </cell>
          <cell r="I276" t="str">
            <v>H</v>
          </cell>
          <cell r="J276" t="str">
            <v>Auth</v>
          </cell>
          <cell r="K276" t="str">
            <v>In the Portfolio Details screen under Assets, Derivatives, Structured Deposits: (1) Actual Result = Balance of Structured Deposits is not displayed on this screen even though customer has balance. (2) Preferred = Balance should be displayed on this screen</v>
          </cell>
          <cell r="L276" t="str">
            <v>-</v>
          </cell>
          <cell r="M276" t="str">
            <v>Incidents 19Aug99\Iida\request.doc</v>
          </cell>
          <cell r="N276" t="str">
            <v xml:space="preserve">21 Aug 99: Should be DR. The summary position for SDs is the sum of individual Mark-to-Market values. At present, the MTM values are all zeros in the TBS feed. Would Veronica/Ishikawa San please check? [Aegidia]. 24 Aug 99: Solution: Changed to CT; where </v>
          </cell>
          <cell r="O276" t="str">
            <v>P2</v>
          </cell>
        </row>
        <row r="277">
          <cell r="A277">
            <v>276</v>
          </cell>
          <cell r="B277">
            <v>36391</v>
          </cell>
          <cell r="C277" t="str">
            <v>Iida</v>
          </cell>
          <cell r="D277" t="str">
            <v>U</v>
          </cell>
          <cell r="E277" t="str">
            <v>NR</v>
          </cell>
          <cell r="F277" t="str">
            <v>PA</v>
          </cell>
          <cell r="G277" t="str">
            <v>Inq</v>
          </cell>
          <cell r="H277" t="str">
            <v>M</v>
          </cell>
          <cell r="I277" t="str">
            <v>H</v>
          </cell>
          <cell r="J277" t="str">
            <v>Auth</v>
          </cell>
          <cell r="K277" t="str">
            <v>In the Time Deposits details screen: Actual Result = Interest at maturity is displayed as gross amount. Preferred = Interest at maturity should display separately as follows: (a) Gross Interest amount (b) Tax Amount (c) After Tax Amount (surplus of b).
Cu</v>
          </cell>
          <cell r="L277" t="str">
            <v>-</v>
          </cell>
          <cell r="M277" t="str">
            <v>Incidents 19Aug99\Iida\request.doc</v>
          </cell>
          <cell r="N277" t="str">
            <v>27 Aug 99: Can be deferred to Phase 2 [Veronica].</v>
          </cell>
          <cell r="O277" t="str">
            <v>P2</v>
          </cell>
        </row>
        <row r="278">
          <cell r="A278">
            <v>277</v>
          </cell>
          <cell r="B278">
            <v>36391</v>
          </cell>
          <cell r="C278" t="str">
            <v>Iida</v>
          </cell>
          <cell r="D278" t="str">
            <v>U</v>
          </cell>
          <cell r="E278" t="str">
            <v>DR</v>
          </cell>
          <cell r="F278" t="str">
            <v>AW</v>
          </cell>
          <cell r="G278" t="str">
            <v>Inq</v>
          </cell>
          <cell r="H278" t="str">
            <v>M</v>
          </cell>
          <cell r="I278" t="str">
            <v>H</v>
          </cell>
          <cell r="J278" t="str">
            <v>Closed</v>
          </cell>
          <cell r="K278" t="str">
            <v>In the Structured Deposits details screen: Actual Result = Product Code is not display on this screen. Preferred = Product Code should displays on this screen. We have many in the name of Structure Deposits. 
Product Name is better than product code, if p</v>
          </cell>
          <cell r="L278" t="str">
            <v>-</v>
          </cell>
          <cell r="M278" t="str">
            <v>..\SCREEN SHOTS\Incidents 01Sept\Iida\sep1.doc</v>
          </cell>
          <cell r="N278" t="str">
            <v>21 Aug 99: Should be DR. Product Code is present in the feed, would Manish please investigate? CSP picks up the product description from the DESCRIPTION column in the feed, would Ishikawa San please populate this column with the same values as PRODUCT PRO</v>
          </cell>
          <cell r="O278" t="str">
            <v>P1</v>
          </cell>
          <cell r="P278">
            <v>1.4</v>
          </cell>
        </row>
        <row r="279">
          <cell r="A279">
            <v>278</v>
          </cell>
          <cell r="B279">
            <v>36391</v>
          </cell>
          <cell r="C279" t="str">
            <v>Iida</v>
          </cell>
          <cell r="D279" t="str">
            <v>U</v>
          </cell>
          <cell r="E279" t="str">
            <v>CT</v>
          </cell>
          <cell r="F279" t="str">
            <v>SC</v>
          </cell>
          <cell r="G279" t="str">
            <v>Inq</v>
          </cell>
          <cell r="H279" t="str">
            <v>M</v>
          </cell>
          <cell r="I279" t="str">
            <v>H</v>
          </cell>
          <cell r="J279" t="str">
            <v>Auth</v>
          </cell>
          <cell r="K279" t="str">
            <v>[See 332] In the Structured Deposits details screen: Actual Result = Barrier, Strike and Spot Rates are not displayed on this screen. Preferred = Barrier and Strike Rates should displays on this screen. This is the most important information of Structured</v>
          </cell>
          <cell r="L279" t="str">
            <v>-</v>
          </cell>
          <cell r="M279" t="str">
            <v>Incidents 19Aug99\Iida\request.doc</v>
          </cell>
          <cell r="N279" t="str">
            <v>21 Aug 99: Should be DR. As confirmed by Keith, Strike Rate is synonymous to Strike Price. Strike Price, upon examination of the feed, came as zeros for some transactions (non-zeros for others), and the one looked at by Iida San was one of them. Would Iid</v>
          </cell>
          <cell r="O279" t="str">
            <v>P2</v>
          </cell>
        </row>
        <row r="280">
          <cell r="A280">
            <v>279</v>
          </cell>
          <cell r="B280">
            <v>36391</v>
          </cell>
          <cell r="C280" t="str">
            <v>Iida</v>
          </cell>
          <cell r="D280" t="str">
            <v>U</v>
          </cell>
          <cell r="E280" t="str">
            <v>DR</v>
          </cell>
          <cell r="F280" t="str">
            <v>AW</v>
          </cell>
          <cell r="G280" t="str">
            <v>Inq</v>
          </cell>
          <cell r="H280" t="str">
            <v>M</v>
          </cell>
          <cell r="I280" t="str">
            <v>H</v>
          </cell>
          <cell r="J280" t="str">
            <v>Auth</v>
          </cell>
          <cell r="K280" t="str">
            <v>In the Structured Deposits details screen, the Expiry Date of option should be displayed since the Customers care about the currency they will receive at maturity. Receivable currency is fixed at 3pm (Tokyo Time) on Expiry Date.</v>
          </cell>
          <cell r="L280" t="str">
            <v>-</v>
          </cell>
          <cell r="M280" t="str">
            <v>Incidents 19Aug99\Iida\request.doc</v>
          </cell>
          <cell r="N280" t="str">
            <v>21 Aug 99: Should be DR. Same as 278. Expiry Date was present for some transactions but not others. Would Iida San please check. [Aegidia]. 27 Aug 99: Can be deferred to Phase 2 [Veronica]</v>
          </cell>
          <cell r="O280" t="str">
            <v>P2</v>
          </cell>
        </row>
        <row r="281">
          <cell r="A281">
            <v>280</v>
          </cell>
          <cell r="B281">
            <v>36391</v>
          </cell>
          <cell r="C281" t="str">
            <v>Iida</v>
          </cell>
          <cell r="D281" t="str">
            <v>U</v>
          </cell>
          <cell r="E281" t="str">
            <v>NR</v>
          </cell>
          <cell r="F281" t="str">
            <v>PA</v>
          </cell>
          <cell r="G281" t="str">
            <v>Inq</v>
          </cell>
          <cell r="H281" t="str">
            <v>M</v>
          </cell>
          <cell r="I281" t="str">
            <v>H</v>
          </cell>
          <cell r="J281" t="str">
            <v>Auth</v>
          </cell>
          <cell r="K281" t="str">
            <v>In the Structured Deposits details screen: Actual Result = Principal (base) amount is displayed. Preferred = Both Investment amount and Deposit Amount (alternative currency) should be displayed.</v>
          </cell>
          <cell r="L281" t="str">
            <v>-</v>
          </cell>
          <cell r="M281" t="str">
            <v>Incidents 19Aug99\Iida\request.doc</v>
          </cell>
          <cell r="N281" t="str">
            <v>27 Aug 99: Can be deferred to Phase 2 [Veronica].</v>
          </cell>
          <cell r="O281" t="str">
            <v>P2</v>
          </cell>
        </row>
        <row r="282">
          <cell r="A282">
            <v>281</v>
          </cell>
          <cell r="B282">
            <v>36391</v>
          </cell>
          <cell r="C282" t="str">
            <v>Iida</v>
          </cell>
          <cell r="D282" t="str">
            <v>U</v>
          </cell>
          <cell r="E282" t="str">
            <v>NR</v>
          </cell>
          <cell r="F282" t="str">
            <v>PA</v>
          </cell>
          <cell r="G282" t="str">
            <v>Inq</v>
          </cell>
          <cell r="H282" t="str">
            <v>M</v>
          </cell>
          <cell r="I282" t="str">
            <v>H</v>
          </cell>
          <cell r="J282" t="str">
            <v>Auth</v>
          </cell>
          <cell r="K282" t="str">
            <v>In the Structured Deposits details screen: Actual Result = Interest Rate is displayed on this screen. Preferred = Customer rate should display on this screen.
Deposit Rate is not = Customer Rate for Structured Deposit. 2 type of Interest Rates should be d</v>
          </cell>
          <cell r="L282" t="str">
            <v>-</v>
          </cell>
          <cell r="M282" t="str">
            <v>Incidents 19Aug99\Iida\request.doc</v>
          </cell>
          <cell r="N282" t="str">
            <v>27 Aug 99: Can be deferred to Phase 2 [Veronica].</v>
          </cell>
          <cell r="O282" t="str">
            <v>P2</v>
          </cell>
        </row>
        <row r="283">
          <cell r="A283">
            <v>282</v>
          </cell>
          <cell r="B283">
            <v>36391</v>
          </cell>
          <cell r="C283" t="str">
            <v>Iida</v>
          </cell>
          <cell r="D283" t="str">
            <v>U</v>
          </cell>
          <cell r="E283" t="str">
            <v>DR</v>
          </cell>
          <cell r="F283" t="str">
            <v>AW</v>
          </cell>
          <cell r="G283" t="str">
            <v>Inq</v>
          </cell>
          <cell r="H283" t="str">
            <v>M</v>
          </cell>
          <cell r="I283" t="str">
            <v>H</v>
          </cell>
          <cell r="J283" t="str">
            <v>auth</v>
          </cell>
          <cell r="K283" t="str">
            <v>In the Structured Deposits details screen, Maturity Amount should display on this screen for both Investment Amount and Deposit Amount which are including interest amount after tax.</v>
          </cell>
          <cell r="L283" t="str">
            <v>-</v>
          </cell>
          <cell r="M283" t="str">
            <v>Incidents 19Aug99\Iida\request.doc</v>
          </cell>
          <cell r="N283" t="str">
            <v>21 Aug 99: Should be DR. Maturity date is present in the feed. Would Manish please investigate? [Aegidia] 26 Aug 99: Maturity Amt and Maturity Amt (alt) will display the after tax amount for(investment amount in the base currency of the deposit + int) and</v>
          </cell>
          <cell r="O283" t="str">
            <v>P2</v>
          </cell>
        </row>
        <row r="284">
          <cell r="A284">
            <v>283</v>
          </cell>
          <cell r="B284">
            <v>36391</v>
          </cell>
          <cell r="C284" t="str">
            <v>Iida</v>
          </cell>
          <cell r="D284" t="str">
            <v>U</v>
          </cell>
          <cell r="E284" t="str">
            <v>NR</v>
          </cell>
          <cell r="F284" t="str">
            <v>PA</v>
          </cell>
          <cell r="G284" t="str">
            <v>Inq</v>
          </cell>
          <cell r="H284" t="str">
            <v>M</v>
          </cell>
          <cell r="I284" t="str">
            <v>H</v>
          </cell>
          <cell r="J284" t="str">
            <v>Auth</v>
          </cell>
          <cell r="K284" t="str">
            <v>In the Margin Loans detail screen the Final Maturity Date should be displayed. The Final Maturity Date means Full Repayment of Loan (Principal and Interest).</v>
          </cell>
          <cell r="L284" t="str">
            <v>-</v>
          </cell>
          <cell r="M284" t="str">
            <v>Incidents 19Aug99\Iida\request.doc</v>
          </cell>
          <cell r="N284" t="str">
            <v xml:space="preserve"> 21 Aug 99: As confirmed by Keith, Final Maturity Date is synonymous to Maturity Date. The request was to add a new field, Partial Payment Due Date, in CSP. Would Iida San please update request? [Aegidia]. 23 Aug 99: Also a User awareness issue [Peter].</v>
          </cell>
          <cell r="O284" t="str">
            <v>P2</v>
          </cell>
        </row>
        <row r="285">
          <cell r="A285">
            <v>284</v>
          </cell>
          <cell r="B285">
            <v>36391</v>
          </cell>
          <cell r="C285" t="str">
            <v>Iida</v>
          </cell>
          <cell r="D285" t="str">
            <v>U</v>
          </cell>
          <cell r="E285" t="str">
            <v>NR</v>
          </cell>
          <cell r="F285" t="str">
            <v>PA</v>
          </cell>
          <cell r="G285" t="str">
            <v>Inq</v>
          </cell>
          <cell r="H285" t="str">
            <v>M</v>
          </cell>
          <cell r="I285" t="str">
            <v>H</v>
          </cell>
          <cell r="J285" t="str">
            <v>Auth</v>
          </cell>
          <cell r="K285" t="str">
            <v>In the Margin Loans detail screen Interest Payment A/C should be displayed with a “Hyper Link”. Customers usually ask for Interest Payment Amount at maturity and remaining balance of A/C.</v>
          </cell>
          <cell r="L285" t="str">
            <v>-</v>
          </cell>
          <cell r="M285" t="str">
            <v>Incidents 19Aug99\Iida\request.doc</v>
          </cell>
          <cell r="O285" t="str">
            <v>P2</v>
          </cell>
        </row>
        <row r="286">
          <cell r="A286">
            <v>285</v>
          </cell>
          <cell r="B286">
            <v>36391</v>
          </cell>
          <cell r="C286" t="str">
            <v>Iida</v>
          </cell>
          <cell r="D286" t="str">
            <v>U</v>
          </cell>
          <cell r="E286" t="str">
            <v>NR</v>
          </cell>
          <cell r="F286" t="str">
            <v>PA</v>
          </cell>
          <cell r="G286" t="str">
            <v>Inq</v>
          </cell>
          <cell r="H286" t="str">
            <v>M</v>
          </cell>
          <cell r="I286" t="str">
            <v>H</v>
          </cell>
          <cell r="J286" t="str">
            <v>Auth</v>
          </cell>
          <cell r="K286" t="str">
            <v>In the Margin Loans detail screen more detail is required. That is, Partial Repayment amount should be displayed; some customers have Partial Repayment Schedule.</v>
          </cell>
          <cell r="L286" t="str">
            <v>-</v>
          </cell>
          <cell r="M286" t="str">
            <v>Incidents 19Aug99\Iida\request.doc</v>
          </cell>
          <cell r="N286" t="str">
            <v>27 Aug 99: Can be deferred to Phase 2 [Veronica].</v>
          </cell>
          <cell r="O286" t="str">
            <v>P2</v>
          </cell>
        </row>
        <row r="287">
          <cell r="A287">
            <v>286</v>
          </cell>
          <cell r="B287">
            <v>36392</v>
          </cell>
          <cell r="C287" t="str">
            <v>Helen</v>
          </cell>
          <cell r="D287" t="str">
            <v>U</v>
          </cell>
          <cell r="E287" t="str">
            <v>CT</v>
          </cell>
          <cell r="F287" t="str">
            <v>SC</v>
          </cell>
          <cell r="G287" t="str">
            <v>EG</v>
          </cell>
          <cell r="H287" t="str">
            <v>M</v>
          </cell>
          <cell r="I287" t="str">
            <v>H</v>
          </cell>
          <cell r="J287" t="str">
            <v>Closed</v>
          </cell>
          <cell r="K287" t="str">
            <v>Before performing an account linkage, the account title is shown in the search results of VIEW UNLINKED tab of EG Setup. However, after linking the account to a LEG, the account title was not displayed. Link number = 12918201.</v>
          </cell>
          <cell r="L287" t="str">
            <v>-</v>
          </cell>
          <cell r="M287" t="str">
            <v>Incidents 20Aug99\Helen\20Aug99-cycle2.doc</v>
          </cell>
          <cell r="N287" t="str">
            <v>23 Aug 99: Also a User awareness issue [Peter]. 24 Aug 99: Changed to CT [Sam]. 30 Aug 99: Verified fix in v1.4 [Helen].</v>
          </cell>
          <cell r="O287" t="str">
            <v>P1</v>
          </cell>
          <cell r="P287">
            <v>1.4</v>
          </cell>
        </row>
        <row r="288">
          <cell r="A288">
            <v>287</v>
          </cell>
          <cell r="B288">
            <v>36392</v>
          </cell>
          <cell r="C288" t="str">
            <v>Andrew</v>
          </cell>
          <cell r="D288" t="str">
            <v>U</v>
          </cell>
          <cell r="E288" t="str">
            <v>UT</v>
          </cell>
          <cell r="F288" t="str">
            <v>PA</v>
          </cell>
          <cell r="G288" t="str">
            <v>Inq</v>
          </cell>
          <cell r="H288" t="str">
            <v>M</v>
          </cell>
          <cell r="I288" t="str">
            <v>H</v>
          </cell>
          <cell r="J288" t="str">
            <v>Closed</v>
          </cell>
          <cell r="K288" t="str">
            <v>The base number 142445 is an IPB account from Systematics, but it is not available in CSP!? Note that the Cost Center Base/AO is 1505, which belongs to IPB. Other IPB accounts are also not in CSP, like 216629 and 30017.</v>
          </cell>
          <cell r="L288" t="str">
            <v>-</v>
          </cell>
          <cell r="M288" t="str">
            <v>Incidents 20Aug99\Andrew\aug 20.doc</v>
          </cell>
          <cell r="N288" t="str">
            <v>24 Aug 99: Closed [Sam]. 25 Aug 99: Verified fix by Andrew in v1.3.</v>
          </cell>
          <cell r="O288" t="str">
            <v>P1</v>
          </cell>
          <cell r="P288">
            <v>1.3</v>
          </cell>
        </row>
        <row r="289">
          <cell r="A289">
            <v>288</v>
          </cell>
          <cell r="B289">
            <v>36392</v>
          </cell>
          <cell r="C289" t="str">
            <v>Andrew</v>
          </cell>
          <cell r="D289" t="str">
            <v>U</v>
          </cell>
          <cell r="E289" t="str">
            <v>CT</v>
          </cell>
          <cell r="F289" t="str">
            <v>SC</v>
          </cell>
          <cell r="G289" t="str">
            <v>SCL</v>
          </cell>
          <cell r="H289" t="str">
            <v>M</v>
          </cell>
          <cell r="I289" t="str">
            <v>H</v>
          </cell>
          <cell r="J289" t="str">
            <v>Closed</v>
          </cell>
          <cell r="K289" t="str">
            <v>In Action Item, after ‘save and copy’ an action item, this message appears: “Error has Occurred. SCL0005: Error in Fetching records”.</v>
          </cell>
          <cell r="L289" t="str">
            <v>-</v>
          </cell>
          <cell r="M289" t="str">
            <v>Incidents 20Aug99\Andrew\aug 20.doc</v>
          </cell>
          <cell r="N289" t="str">
            <v>30 Aug 99: Verified fix in 1.4 [Andrew].</v>
          </cell>
          <cell r="O289" t="str">
            <v>P1</v>
          </cell>
          <cell r="P289">
            <v>1.4</v>
          </cell>
        </row>
        <row r="290">
          <cell r="A290">
            <v>289</v>
          </cell>
          <cell r="B290">
            <v>36392</v>
          </cell>
          <cell r="C290" t="str">
            <v>Andrew</v>
          </cell>
          <cell r="D290" t="str">
            <v>U</v>
          </cell>
          <cell r="E290" t="str">
            <v>NR</v>
          </cell>
          <cell r="F290" t="str">
            <v>PA</v>
          </cell>
          <cell r="G290" t="str">
            <v>Rep</v>
          </cell>
          <cell r="H290" t="str">
            <v>L</v>
          </cell>
          <cell r="I290" t="str">
            <v>L</v>
          </cell>
          <cell r="J290" t="str">
            <v>Auth</v>
          </cell>
          <cell r="K290" t="str">
            <v>In Reports module, can we not see the ‘In Process’ items?</v>
          </cell>
          <cell r="L290" t="str">
            <v>-</v>
          </cell>
          <cell r="M290" t="str">
            <v>Incidents 20Aug99\Andrew\aug 20.doc</v>
          </cell>
          <cell r="O290" t="str">
            <v>P2</v>
          </cell>
        </row>
        <row r="291">
          <cell r="A291">
            <v>290</v>
          </cell>
          <cell r="B291">
            <v>36392</v>
          </cell>
          <cell r="C291" t="str">
            <v>Andrew</v>
          </cell>
          <cell r="D291" t="str">
            <v>U</v>
          </cell>
          <cell r="E291" t="str">
            <v>CT</v>
          </cell>
          <cell r="F291" t="str">
            <v>SC</v>
          </cell>
          <cell r="G291" t="str">
            <v>Inq</v>
          </cell>
          <cell r="H291" t="str">
            <v>M</v>
          </cell>
          <cell r="I291" t="str">
            <v>H</v>
          </cell>
          <cell r="J291" t="str">
            <v>Closed</v>
          </cell>
          <cell r="K291" t="str">
            <v>Nothing happens when a ‘search’ is done through ‘Names and EGs’ and ‘Names and Rels’.</v>
          </cell>
          <cell r="L291" t="str">
            <v>-</v>
          </cell>
          <cell r="M291" t="str">
            <v>Incidents 20Aug99\Andrew\aug 20.doc</v>
          </cell>
          <cell r="N291" t="str">
            <v>24 Aug 99: Andrew to re-test [Sam]. Fix verified in v1.3 [Andrew].</v>
          </cell>
          <cell r="O291" t="str">
            <v>P1</v>
          </cell>
          <cell r="P291">
            <v>1.3</v>
          </cell>
        </row>
        <row r="292">
          <cell r="A292">
            <v>291</v>
          </cell>
          <cell r="B292">
            <v>36393</v>
          </cell>
          <cell r="C292" t="str">
            <v>Aegidia</v>
          </cell>
          <cell r="D292" t="str">
            <v>U</v>
          </cell>
          <cell r="E292" t="str">
            <v>NR</v>
          </cell>
          <cell r="F292" t="str">
            <v>PA</v>
          </cell>
          <cell r="G292" t="str">
            <v>Inq</v>
          </cell>
          <cell r="H292" t="str">
            <v>L</v>
          </cell>
          <cell r="I292" t="str">
            <v>L</v>
          </cell>
          <cell r="J292" t="str">
            <v>Closed</v>
          </cell>
          <cell r="K292" t="str">
            <v xml:space="preserve">Need to show Accrued Interest on Call Deposits </v>
          </cell>
          <cell r="L292" t="str">
            <v>-</v>
          </cell>
          <cell r="M292" t="str">
            <v>-</v>
          </cell>
          <cell r="N292" t="str">
            <v xml:space="preserve">20 Aug 99: Talked to Andrew and both of us agreed not to map the accrued int. on call deposit from Multi-branch AP, EMEA and Zurich into CSP. The reason is that the accrued interest was already included in the available balance [Miranda, Aegidia]. 24 Aug </v>
          </cell>
          <cell r="O292" t="str">
            <v>P1</v>
          </cell>
          <cell r="P292">
            <v>1.3</v>
          </cell>
        </row>
        <row r="293">
          <cell r="A293">
            <v>292</v>
          </cell>
          <cell r="B293">
            <v>36395</v>
          </cell>
          <cell r="C293" t="str">
            <v>Helen</v>
          </cell>
          <cell r="D293" t="str">
            <v>U</v>
          </cell>
          <cell r="E293" t="str">
            <v>CT</v>
          </cell>
          <cell r="F293" t="str">
            <v>SC</v>
          </cell>
          <cell r="G293" t="str">
            <v>Cor</v>
          </cell>
          <cell r="H293" t="str">
            <v>M</v>
          </cell>
          <cell r="I293" t="str">
            <v>H</v>
          </cell>
          <cell r="J293" t="str">
            <v>Fixed</v>
          </cell>
          <cell r="K293" t="str">
            <v>[See related 293] While retesting the corridor to OASIS HK, the &lt;PF1&gt; key (the Num-Lock key) is not working on the corridored screen. Instead, the function of &lt;PF1&gt; key is replaced by &lt;F1&gt; key. For example, user failed to exit the screen by pressing &lt;PF1&gt;</v>
          </cell>
          <cell r="L293" t="str">
            <v>-</v>
          </cell>
          <cell r="M293" t="str">
            <v>Incidents 23Aug99\Helen\23Aug99-retest1.3.doc</v>
          </cell>
          <cell r="N293" t="str">
            <v>24 Aug 99: Changed priority to "H" [Sam]. Also a UT. Further, Keyboard mapping guide is required [Sandeep]. 3 Sep 99: Fixed in v1.5 [Sandeep].</v>
          </cell>
          <cell r="O293" t="str">
            <v>P1</v>
          </cell>
          <cell r="P293">
            <v>1.5</v>
          </cell>
        </row>
        <row r="294">
          <cell r="A294">
            <v>293</v>
          </cell>
          <cell r="B294">
            <v>36396</v>
          </cell>
          <cell r="C294" t="str">
            <v>Andrew</v>
          </cell>
          <cell r="D294" t="str">
            <v>U</v>
          </cell>
          <cell r="E294" t="str">
            <v>CT</v>
          </cell>
          <cell r="F294" t="str">
            <v>SC</v>
          </cell>
          <cell r="G294" t="str">
            <v>Cor</v>
          </cell>
          <cell r="H294" t="str">
            <v>M</v>
          </cell>
          <cell r="I294" t="str">
            <v>H</v>
          </cell>
          <cell r="J294" t="str">
            <v>Closed</v>
          </cell>
          <cell r="K294" t="str">
            <v>[See related 292] Mapping of SBOS to production is still incorrect, eg. To clear the screen in production, users hit the “Pause Break” key, and to delete any characters the “end” key is used.</v>
          </cell>
          <cell r="L294" t="str">
            <v>-</v>
          </cell>
          <cell r="M294" t="str">
            <v>-</v>
          </cell>
          <cell r="N294" t="str">
            <v>2 Sep 99: Should be Phase 1 not Phase 2 [Sam]. 3 Sep 99: Keyboard mapping guide is required [Sandeep]. 3 Sep 99: Fixed in v1.5 [Sandeep]. 4 Sep 99: Failed verification in v1.5 [Andrew]. 14 Sep 99: Fixed verified in PAT in v1.5+ [Andrew].</v>
          </cell>
          <cell r="O294" t="str">
            <v>P1</v>
          </cell>
          <cell r="P294">
            <v>1.5</v>
          </cell>
        </row>
        <row r="295">
          <cell r="A295">
            <v>294</v>
          </cell>
          <cell r="B295">
            <v>36396</v>
          </cell>
          <cell r="C295" t="str">
            <v>Andrew</v>
          </cell>
          <cell r="D295" t="str">
            <v>U</v>
          </cell>
          <cell r="E295" t="str">
            <v>DI</v>
          </cell>
          <cell r="F295" t="str">
            <v>PA</v>
          </cell>
          <cell r="G295" t="str">
            <v>Inq</v>
          </cell>
          <cell r="H295" t="str">
            <v>M</v>
          </cell>
          <cell r="I295" t="str">
            <v>H</v>
          </cell>
          <cell r="J295" t="str">
            <v>Auth</v>
          </cell>
          <cell r="K295" t="str">
            <v>ACL was reduced in FOS through a funds transfer order of USD1111. The ACL balance in FOS has been reduced to USD4433.25, however, CSP is not reflecting the update ONLINE (was USD3544.62 before and after). Is it the dates in FOS (Jul 08, 99) CSP and SBOS t</v>
          </cell>
          <cell r="L295" t="str">
            <v>-</v>
          </cell>
          <cell r="M295" t="str">
            <v>-</v>
          </cell>
          <cell r="N295" t="str">
            <v>2 Sep 99: Should be Phase 1 not Phase 2 as cash balances need to be updated in real-time [Sam]. 9 Sep 99: Also a UT [Sam].</v>
          </cell>
          <cell r="O295" t="str">
            <v>P1</v>
          </cell>
        </row>
        <row r="296">
          <cell r="A296">
            <v>295</v>
          </cell>
          <cell r="B296">
            <v>36396</v>
          </cell>
          <cell r="C296" t="str">
            <v>Andrew</v>
          </cell>
          <cell r="D296" t="str">
            <v>U</v>
          </cell>
          <cell r="E296" t="str">
            <v>CT</v>
          </cell>
          <cell r="F296" t="str">
            <v>SC</v>
          </cell>
          <cell r="G296" t="str">
            <v>SCL</v>
          </cell>
          <cell r="H296" t="str">
            <v>L</v>
          </cell>
          <cell r="I296" t="str">
            <v>M</v>
          </cell>
          <cell r="J296" t="str">
            <v>Closed</v>
          </cell>
          <cell r="K296" t="str">
            <v>[See 261] When the user is prompted with the error message that “the contact time should be less than the present time” and the “ok” button is clicked, the previous values were over-ridden with the initial default (look at the sub-type and source).</v>
          </cell>
          <cell r="L296" t="str">
            <v>-</v>
          </cell>
          <cell r="M296" t="str">
            <v>-</v>
          </cell>
          <cell r="N296" t="str">
            <v>24 Aug 99: Related to 261. 30 Aug 99: Verified fix in 1.4 [Andrew].</v>
          </cell>
          <cell r="O296" t="str">
            <v>P1</v>
          </cell>
          <cell r="P296">
            <v>1.4</v>
          </cell>
        </row>
        <row r="297">
          <cell r="A297">
            <v>296</v>
          </cell>
          <cell r="B297">
            <v>36396</v>
          </cell>
          <cell r="C297" t="str">
            <v>Andrew</v>
          </cell>
          <cell r="D297" t="str">
            <v>U</v>
          </cell>
          <cell r="E297" t="str">
            <v>DR</v>
          </cell>
          <cell r="F297" t="str">
            <v>AW</v>
          </cell>
          <cell r="G297" t="str">
            <v>Inq</v>
          </cell>
          <cell r="H297" t="str">
            <v>M</v>
          </cell>
          <cell r="I297" t="str">
            <v>H</v>
          </cell>
          <cell r="J297" t="str">
            <v>Closed</v>
          </cell>
          <cell r="K297" t="str">
            <v>The 1st screen is the original incident logged on Aug 12. The 2nd screen is in cycle 3 (logged on Aug 23). The “Government Bonds” in the 1st screen is displayed in the “Corporate Bonds” in the 2nd screen. Is there any change to the mapping?</v>
          </cell>
          <cell r="L297" t="str">
            <v>-</v>
          </cell>
          <cell r="M297" t="str">
            <v>-</v>
          </cell>
          <cell r="N297" t="str">
            <v>25 Aug 99: Aegidia, Helen, Andrew attempting to resolve-issue as to whether Corp. or Gov't bond [Jacob]. 26 Aug 99: Received sub-asset class info from Tayfun Kumza. 1 Sep 99: The mapping between EMEA Bond product codes and CSP asset types have been revise</v>
          </cell>
          <cell r="O297" t="str">
            <v>P1</v>
          </cell>
          <cell r="P297">
            <v>1.5</v>
          </cell>
        </row>
        <row r="298">
          <cell r="A298">
            <v>297</v>
          </cell>
          <cell r="B298">
            <v>36396</v>
          </cell>
          <cell r="C298" t="str">
            <v>Aegidia</v>
          </cell>
          <cell r="D298" t="str">
            <v>U</v>
          </cell>
          <cell r="E298" t="str">
            <v>CT</v>
          </cell>
          <cell r="F298" t="str">
            <v>SC</v>
          </cell>
          <cell r="G298" t="str">
            <v>Inq</v>
          </cell>
          <cell r="H298" t="str">
            <v>M</v>
          </cell>
          <cell r="I298" t="str">
            <v>H</v>
          </cell>
          <cell r="J298" t="str">
            <v>Closed</v>
          </cell>
          <cell r="K298" t="str">
            <v xml:space="preserve">[See 386] The London accounts that are linked to ‘dummy’ portfolios should be displayed in the LEG in the same way that SG GCB Maxisave accounts are, i.e., there is no portfolio (Discretionary or Investment Counseling) under the LEG overview screen. Also </v>
          </cell>
          <cell r="L298" t="str">
            <v>-</v>
          </cell>
          <cell r="M298" t="str">
            <v>-</v>
          </cell>
          <cell r="N298" t="str">
            <v>24 Aug 99: Related to 225. 30 Aug 99: Failed verification in v1.4: Why is there only an account number for the Systematics, and not the SGD Maxisave and Investment Counseling (700442)? Previously, the layout was not in this manner [Andrew]. 02 Sept 99: Ve</v>
          </cell>
          <cell r="O298" t="str">
            <v>P1</v>
          </cell>
          <cell r="P298">
            <v>1.4</v>
          </cell>
        </row>
        <row r="299">
          <cell r="A299">
            <v>298</v>
          </cell>
          <cell r="B299">
            <v>36396</v>
          </cell>
          <cell r="C299" t="str">
            <v>Helen</v>
          </cell>
          <cell r="D299" t="str">
            <v>U</v>
          </cell>
          <cell r="E299" t="str">
            <v>CT</v>
          </cell>
          <cell r="F299" t="str">
            <v>SC</v>
          </cell>
          <cell r="G299" t="str">
            <v>Inq</v>
          </cell>
          <cell r="H299" t="str">
            <v>M</v>
          </cell>
          <cell r="I299" t="str">
            <v>H</v>
          </cell>
          <cell r="J299" t="str">
            <v>Closed</v>
          </cell>
          <cell r="K299" t="str">
            <v>[See 333, 344, 376] In the “Time Deposits” screen, the display of short term investments are “duplicated” as shown in the screen shot.</v>
          </cell>
          <cell r="L299" t="str">
            <v>-</v>
          </cell>
          <cell r="M299" t="str">
            <v>\\FS666F04\USER1\JROITMAN\INTERIM_JACOB\SCREEN SHOTS\23 Sept 99\Helen\23Sep99-retest1.5.doc</v>
          </cell>
          <cell r="N299" t="str">
            <v>14 Sep 99: Fixed in v1.5+ in PAT [Sandeep].  23 Sept 99: Verified by Helen.</v>
          </cell>
          <cell r="O299" t="str">
            <v>P1</v>
          </cell>
          <cell r="P299">
            <v>1.5</v>
          </cell>
        </row>
        <row r="300">
          <cell r="A300">
            <v>299</v>
          </cell>
          <cell r="B300">
            <v>36396</v>
          </cell>
          <cell r="C300" t="str">
            <v>Helen</v>
          </cell>
          <cell r="D300" t="str">
            <v>U</v>
          </cell>
          <cell r="E300" t="str">
            <v>CT</v>
          </cell>
          <cell r="F300" t="str">
            <v>SC</v>
          </cell>
          <cell r="G300" t="str">
            <v>Cor</v>
          </cell>
          <cell r="H300" t="str">
            <v>M</v>
          </cell>
          <cell r="I300" t="str">
            <v>H</v>
          </cell>
          <cell r="J300" t="str">
            <v>Fixed</v>
          </cell>
          <cell r="K300" t="str">
            <v>When attempting to launch context-sensitive SBOS corridor from Position Detail Screen (by clicking the reference number of the time deposit), the logon screen was given instead.</v>
          </cell>
          <cell r="L300" t="str">
            <v>-</v>
          </cell>
          <cell r="M300" t="str">
            <v>Incidents 24Aug99\Helen\24Aug99-cycle3.doc</v>
          </cell>
          <cell r="N300" t="str">
            <v>31 Aug 99: Failed re-test in v1.4 [Helen]. 3 Sep 99: Fixed in v1.5 [Sandeep].</v>
          </cell>
          <cell r="O300" t="str">
            <v>P1</v>
          </cell>
          <cell r="P300">
            <v>1.5</v>
          </cell>
        </row>
        <row r="301">
          <cell r="A301">
            <v>300</v>
          </cell>
          <cell r="B301">
            <v>36396</v>
          </cell>
          <cell r="C301" t="str">
            <v>Helen</v>
          </cell>
          <cell r="D301" t="str">
            <v>U</v>
          </cell>
          <cell r="E301" t="str">
            <v>CT</v>
          </cell>
          <cell r="F301" t="str">
            <v>SC</v>
          </cell>
          <cell r="G301" t="str">
            <v>Cor</v>
          </cell>
          <cell r="H301" t="str">
            <v>M</v>
          </cell>
          <cell r="I301" t="str">
            <v>H</v>
          </cell>
          <cell r="J301" t="str">
            <v>Closed</v>
          </cell>
          <cell r="K301" t="str">
            <v xml:space="preserve">[See 35] Attempt to launch context-sensitive access to documents (DTS2) but after clicking “documents” on the bottom menu bar, the following message was given: “Information on this page requires a plug-in for: application/x-CitiSafe-plug-in. Communicator </v>
          </cell>
          <cell r="L301" t="str">
            <v>-</v>
          </cell>
          <cell r="M301" t="str">
            <v>Incidents 24Aug99\Helen\24Aug99-cycle3.doc</v>
          </cell>
          <cell r="N301" t="str">
            <v>30 Aug 99: Incident 300 is a duplicate of 35 and can be Closed as well. [Sandeep].</v>
          </cell>
          <cell r="O301" t="str">
            <v>P1</v>
          </cell>
          <cell r="P301">
            <v>1.4</v>
          </cell>
        </row>
        <row r="302">
          <cell r="A302">
            <v>301</v>
          </cell>
          <cell r="B302">
            <v>36397</v>
          </cell>
          <cell r="C302" t="str">
            <v>Andrew</v>
          </cell>
          <cell r="D302" t="str">
            <v>U</v>
          </cell>
          <cell r="E302" t="str">
            <v>CT</v>
          </cell>
          <cell r="F302" t="str">
            <v>SC</v>
          </cell>
          <cell r="G302" t="str">
            <v>Cor</v>
          </cell>
          <cell r="H302" t="str">
            <v>M</v>
          </cell>
          <cell r="I302" t="str">
            <v>H</v>
          </cell>
          <cell r="J302" t="str">
            <v>Closed</v>
          </cell>
          <cell r="K302" t="str">
            <v>When corridoring to EMEA SBOS from Equities screen, the following (login) screen is displayed.</v>
          </cell>
          <cell r="L302" t="str">
            <v>-</v>
          </cell>
          <cell r="M302" t="str">
            <v>Incidents 25Aug99\Andrew\Aug 25.doc</v>
          </cell>
          <cell r="N302" t="str">
            <v>30 Aug 99: Failed verification in v1.4 [Andrew]. 31 Aug 99: Verified by Andrew in v1.4.</v>
          </cell>
          <cell r="O302" t="str">
            <v>P1</v>
          </cell>
          <cell r="P302">
            <v>1.4</v>
          </cell>
        </row>
        <row r="303">
          <cell r="A303">
            <v>302</v>
          </cell>
          <cell r="B303">
            <v>36397</v>
          </cell>
          <cell r="C303" t="str">
            <v>Andrew</v>
          </cell>
          <cell r="D303" t="str">
            <v>U</v>
          </cell>
          <cell r="E303" t="str">
            <v>CT</v>
          </cell>
          <cell r="F303" t="str">
            <v>SC</v>
          </cell>
          <cell r="G303" t="str">
            <v>EG</v>
          </cell>
          <cell r="H303" t="str">
            <v>M</v>
          </cell>
          <cell r="I303" t="str">
            <v>H</v>
          </cell>
          <cell r="J303" t="str">
            <v>Closed</v>
          </cell>
          <cell r="K303" t="str">
            <v>On clicking “Close LEG” from the LEG Overview screen, the “Authorised/Unauthorised Bases Already Exists. Cannot close this Local Entitlement” message is displayed. What does this mean? Also, notice the spelling mistake in the word “exists”, which is spelt</v>
          </cell>
          <cell r="L303" t="str">
            <v>-</v>
          </cell>
          <cell r="M303" t="str">
            <v>Incidents 25Aug99\Andrew\Aug 25.doc</v>
          </cell>
          <cell r="N303" t="str">
            <v>30 Aug 99: Verified fix in 1.4 [Andrew].</v>
          </cell>
          <cell r="O303" t="str">
            <v>P1</v>
          </cell>
          <cell r="P303">
            <v>1.4</v>
          </cell>
        </row>
        <row r="304">
          <cell r="A304">
            <v>303</v>
          </cell>
          <cell r="B304">
            <v>36397</v>
          </cell>
          <cell r="C304" t="str">
            <v>Andrew</v>
          </cell>
          <cell r="D304" t="str">
            <v>U</v>
          </cell>
          <cell r="E304" t="str">
            <v>DI</v>
          </cell>
          <cell r="F304" t="str">
            <v>PA</v>
          </cell>
          <cell r="G304" t="str">
            <v>EG</v>
          </cell>
          <cell r="H304" t="str">
            <v>L</v>
          </cell>
          <cell r="I304" t="str">
            <v>M</v>
          </cell>
          <cell r="J304" t="str">
            <v>Closed</v>
          </cell>
          <cell r="K304" t="str">
            <v>From EG setup, LEG overview screen, I clicked on the link no. “765000”, a blank screen (see 2nd screen) appears. Can we have a message to warn the user that the base 765000 has been closed in SBOS?</v>
          </cell>
          <cell r="L304" t="str">
            <v>-</v>
          </cell>
          <cell r="M304" t="str">
            <v>Incidents 25Aug99\Andrew\Aug 25.doc</v>
          </cell>
          <cell r="N304" t="str">
            <v>30 Aug 99: Failed verification in v1.4: The base 765000 was closed in SBOS in previous cycle. Should not be able to link the base to LEG. Must for Phase 1 [Andrew]. 02 Sept 99: Re-raised by Andrew. 6 Sep 99: Fixed verified in v1.5 [Andrew].</v>
          </cell>
          <cell r="O304" t="str">
            <v>P1</v>
          </cell>
          <cell r="P304">
            <v>1.4</v>
          </cell>
        </row>
        <row r="305">
          <cell r="A305">
            <v>304</v>
          </cell>
          <cell r="B305">
            <v>36398</v>
          </cell>
          <cell r="C305" t="str">
            <v>Keith</v>
          </cell>
          <cell r="D305" t="str">
            <v>U</v>
          </cell>
          <cell r="E305" t="str">
            <v>CT</v>
          </cell>
          <cell r="F305" t="str">
            <v>SC</v>
          </cell>
          <cell r="G305" t="str">
            <v>Inq</v>
          </cell>
          <cell r="H305" t="str">
            <v>M</v>
          </cell>
          <cell r="I305" t="str">
            <v>H</v>
          </cell>
          <cell r="J305" t="str">
            <v>Auth</v>
          </cell>
          <cell r="K305" t="str">
            <v>At the "Member Overview/Contact Information" screen the telephone numbers for Japan are confusing. Don't show zeros that are trailing the phone number. Spaces, hyphens are needed as separators to avoid confusion.</v>
          </cell>
          <cell r="L305" t="str">
            <v>-</v>
          </cell>
          <cell r="M305" t="str">
            <v>..\SCREEN SHOTS\Incidents 26 Aug\Keith\address.doc</v>
          </cell>
          <cell r="N305" t="str">
            <v>25 Aug 99: e-mail sent to Sandeep with specs and screen shot [Keith]</v>
          </cell>
          <cell r="O305" t="str">
            <v>P2</v>
          </cell>
        </row>
        <row r="306">
          <cell r="A306">
            <v>305</v>
          </cell>
          <cell r="B306">
            <v>36398</v>
          </cell>
          <cell r="C306" t="str">
            <v>Toda</v>
          </cell>
          <cell r="D306" t="str">
            <v>U</v>
          </cell>
          <cell r="E306" t="str">
            <v>CT</v>
          </cell>
          <cell r="F306" t="str">
            <v>SC</v>
          </cell>
          <cell r="G306" t="str">
            <v>EG</v>
          </cell>
          <cell r="H306" t="str">
            <v>X</v>
          </cell>
          <cell r="I306" t="str">
            <v>X</v>
          </cell>
          <cell r="J306" t="str">
            <v>Closed</v>
          </cell>
          <cell r="K306" t="str">
            <v xml:space="preserve">At the "GEG Overview" screen "Unauthorized" is displayed for "Suzuki Ichiro" and "Fukushima Mizuho", however, they appear as "Approved" on the "EG Setup" screen. </v>
          </cell>
          <cell r="L306" t="str">
            <v>-</v>
          </cell>
          <cell r="M306" t="str">
            <v>..\SCREEN SHOTS\Incidents 30 Aug\Keith\aug30.doc</v>
          </cell>
          <cell r="N306" t="str">
            <v>26 Aug 99: SHOW STOPPER since this is misinformation to the client [Keith]. 30 Aug 99: Re-raised; after re-testing this incident, the problem remains. Member roles functionality has been altered, but not for the better [Keith]. 02 Sept 99: Verified by Kei</v>
          </cell>
          <cell r="O306" t="str">
            <v>P1</v>
          </cell>
          <cell r="P306">
            <v>1.4</v>
          </cell>
        </row>
        <row r="307">
          <cell r="A307">
            <v>306</v>
          </cell>
          <cell r="B307">
            <v>36398</v>
          </cell>
          <cell r="C307" t="str">
            <v>Helen</v>
          </cell>
          <cell r="D307" t="str">
            <v>U</v>
          </cell>
          <cell r="E307" t="str">
            <v>CT</v>
          </cell>
          <cell r="F307" t="str">
            <v>SC</v>
          </cell>
          <cell r="G307" t="str">
            <v>Cor</v>
          </cell>
          <cell r="H307" t="str">
            <v>M</v>
          </cell>
          <cell r="I307" t="str">
            <v>H</v>
          </cell>
          <cell r="J307" t="str">
            <v>Closed</v>
          </cell>
          <cell r="K307" t="str">
            <v>Attempted to launch context-sensitive corridor to SBOS-TRED but the syntax is incorrect. It should be TRED AC0758899055. (“0” signifies it is a cash account in SBOS)</v>
          </cell>
          <cell r="L307" t="str">
            <v>-</v>
          </cell>
          <cell r="M307" t="str">
            <v>..\SCREEN SHOTS\Incidents 02 Sept\Helen\02Sep99-cycle4.doc</v>
          </cell>
          <cell r="N307" t="str">
            <v xml:space="preserve"> 02 Sept 99: Verified fix in v1.4+ [Helen].</v>
          </cell>
          <cell r="O307" t="str">
            <v>P1</v>
          </cell>
          <cell r="P307">
            <v>1.4</v>
          </cell>
        </row>
        <row r="308">
          <cell r="A308">
            <v>307</v>
          </cell>
          <cell r="B308">
            <v>36398</v>
          </cell>
          <cell r="C308" t="str">
            <v>Miranda</v>
          </cell>
          <cell r="D308" t="str">
            <v>U</v>
          </cell>
          <cell r="E308" t="str">
            <v>NR</v>
          </cell>
          <cell r="F308" t="str">
            <v>PA</v>
          </cell>
          <cell r="G308" t="str">
            <v>Inq</v>
          </cell>
          <cell r="H308" t="str">
            <v>L</v>
          </cell>
          <cell r="I308" t="str">
            <v>L</v>
          </cell>
          <cell r="J308" t="str">
            <v>Auth</v>
          </cell>
          <cell r="K308" t="str">
            <v>The alignment of the column labeled “trade date, value date, call date” should be at the right hand side, the same as the other columns. The same request also applies to the other asset classes.</v>
          </cell>
          <cell r="L308" t="str">
            <v>-</v>
          </cell>
          <cell r="M308" t="str">
            <v>..\SCREEN SHOTS\Incidents 26 Aug\Miranda\CSP UAT Incidents on Aug. 24 - MC.doc</v>
          </cell>
          <cell r="N308" t="str">
            <v>27 Aug 99: Changed from CT to NR [Peter].</v>
          </cell>
          <cell r="O308" t="str">
            <v>P2</v>
          </cell>
        </row>
        <row r="309">
          <cell r="A309">
            <v>308</v>
          </cell>
          <cell r="B309">
            <v>36398</v>
          </cell>
          <cell r="C309" t="str">
            <v>Miranda</v>
          </cell>
          <cell r="D309" t="str">
            <v>U</v>
          </cell>
          <cell r="E309" t="str">
            <v>CT</v>
          </cell>
          <cell r="F309" t="str">
            <v>SC</v>
          </cell>
          <cell r="G309" t="str">
            <v>EG</v>
          </cell>
          <cell r="H309" t="str">
            <v>M</v>
          </cell>
          <cell r="I309" t="str">
            <v>H</v>
          </cell>
          <cell r="J309" t="str">
            <v>Closed</v>
          </cell>
          <cell r="K309" t="str">
            <v>The following error message is displayed when clicking on “create LEG” after the set up of a new relationship “Error 500-Internal Server Error”.</v>
          </cell>
          <cell r="L309" t="str">
            <v>-</v>
          </cell>
          <cell r="M309" t="str">
            <v>..\SCREEN SHOTS\Incidents 26 Aug\Miranda\CSP UAT Incidents on Aug. 24 - MC.doc</v>
          </cell>
          <cell r="N309" t="str">
            <v>4 Sep 99: Fixed verified in v1.5 [Miranda].</v>
          </cell>
          <cell r="O309" t="str">
            <v>P1</v>
          </cell>
          <cell r="P309">
            <v>1.4</v>
          </cell>
        </row>
        <row r="310">
          <cell r="A310">
            <v>309</v>
          </cell>
          <cell r="B310">
            <v>36398</v>
          </cell>
          <cell r="C310" t="str">
            <v>Miranda</v>
          </cell>
          <cell r="D310" t="str">
            <v>U</v>
          </cell>
          <cell r="E310" t="str">
            <v>NR</v>
          </cell>
          <cell r="F310" t="str">
            <v>PA</v>
          </cell>
          <cell r="G310" t="str">
            <v>Inq</v>
          </cell>
          <cell r="H310" t="str">
            <v>L</v>
          </cell>
          <cell r="I310" t="str">
            <v>?</v>
          </cell>
          <cell r="J310" t="str">
            <v>Auth</v>
          </cell>
          <cell r="K310" t="str">
            <v>Could we have a "quick hit" to enlarge the size of the whole screen?</v>
          </cell>
          <cell r="L310" t="str">
            <v>-</v>
          </cell>
          <cell r="M310" t="str">
            <v>..\SCREEN SHOTS\Incidents 26 Aug\Miranda\CSP UAT Incidents on Aug. 24 - MC.doc</v>
          </cell>
          <cell r="O310" t="str">
            <v>P2</v>
          </cell>
        </row>
        <row r="311">
          <cell r="A311">
            <v>310</v>
          </cell>
          <cell r="B311">
            <v>36399</v>
          </cell>
          <cell r="C311" t="str">
            <v>Miranda</v>
          </cell>
          <cell r="D311" t="str">
            <v>U</v>
          </cell>
          <cell r="E311" t="str">
            <v>CT</v>
          </cell>
          <cell r="F311" t="str">
            <v>SC</v>
          </cell>
          <cell r="G311" t="str">
            <v>EG</v>
          </cell>
          <cell r="H311" t="str">
            <v>S</v>
          </cell>
          <cell r="I311" t="str">
            <v>H</v>
          </cell>
          <cell r="J311" t="str">
            <v>Closed</v>
          </cell>
          <cell r="K311" t="str">
            <v>In the “EG Setup”, the user has approved the other three batches of the linkages except for the following one which is under the same relationship. The system did not accept the command and did not issue any alert or error messages. Subsequently, the enti</v>
          </cell>
          <cell r="L311" t="str">
            <v>-</v>
          </cell>
          <cell r="M311" t="str">
            <v>..\SCREEN SHOTS\Incidents 27 Aug\Miranda\CSP UAT Incidents on Aug. 26 - MC.doc</v>
          </cell>
          <cell r="N311" t="str">
            <v>4 Sep 99: Error message (Error has occurred. Error in inserting GEG details) given, but message not understood [Miranda]. 6 Sep 99: Fixed verified in v1.5+ [Miranda].</v>
          </cell>
          <cell r="O311" t="str">
            <v>P1</v>
          </cell>
          <cell r="P311">
            <v>1.4</v>
          </cell>
        </row>
        <row r="312">
          <cell r="A312">
            <v>311</v>
          </cell>
          <cell r="B312">
            <v>36399</v>
          </cell>
          <cell r="C312" t="str">
            <v>Andrew</v>
          </cell>
          <cell r="D312" t="str">
            <v>U</v>
          </cell>
          <cell r="E312" t="str">
            <v>CT</v>
          </cell>
          <cell r="F312" t="str">
            <v>SC</v>
          </cell>
          <cell r="G312" t="str">
            <v>Cor</v>
          </cell>
          <cell r="H312" t="str">
            <v>M</v>
          </cell>
          <cell r="I312" t="str">
            <v>H</v>
          </cell>
          <cell r="J312" t="str">
            <v>Closed</v>
          </cell>
          <cell r="K312" t="str">
            <v xml:space="preserve">The following message appears. “Could not establish connection with product processor” SBOS Singapore; returned to CSP Home screen, waited for a while and tried again; corridored successfully and logged on to SBOS Singapore. </v>
          </cell>
          <cell r="L312" t="str">
            <v>-</v>
          </cell>
          <cell r="M312" t="str">
            <v>..\SCREEN SHOTS\Incidents 27 Aug\Andrew\Aug 27.doc</v>
          </cell>
          <cell r="N312" t="str">
            <v>30 Aug 99: Verified fix in 1.4 [Andrew].</v>
          </cell>
          <cell r="O312" t="str">
            <v>P1</v>
          </cell>
          <cell r="P312">
            <v>1.4</v>
          </cell>
        </row>
        <row r="313">
          <cell r="A313">
            <v>312</v>
          </cell>
          <cell r="B313">
            <v>36399</v>
          </cell>
          <cell r="C313" t="str">
            <v>Andrew</v>
          </cell>
          <cell r="D313" t="str">
            <v>U</v>
          </cell>
          <cell r="E313" t="str">
            <v>CT</v>
          </cell>
          <cell r="F313" t="str">
            <v>SC</v>
          </cell>
          <cell r="G313" t="str">
            <v>Inq</v>
          </cell>
          <cell r="H313" t="str">
            <v>M</v>
          </cell>
          <cell r="I313" t="str">
            <v>H</v>
          </cell>
          <cell r="J313" t="str">
            <v>Dup</v>
          </cell>
          <cell r="K313" t="str">
            <v>[See 232] Performance: The response for corridoring from the CSP Home screen is taking between 1- 3 minutes to launch. Please work to reduce this.</v>
          </cell>
          <cell r="L313" t="str">
            <v>-</v>
          </cell>
          <cell r="N313" t="str">
            <v>2 Sep 99: Should be Phase 1 not Phase 2 [Sam]. 6 Sep 99: Dup of 232 [Sandeep].</v>
          </cell>
          <cell r="O313" t="str">
            <v>P1</v>
          </cell>
        </row>
        <row r="314">
          <cell r="A314">
            <v>313</v>
          </cell>
          <cell r="B314">
            <v>36399</v>
          </cell>
          <cell r="C314" t="str">
            <v>Helen</v>
          </cell>
          <cell r="D314" t="str">
            <v>U</v>
          </cell>
          <cell r="E314" t="str">
            <v>CT</v>
          </cell>
          <cell r="F314" t="str">
            <v>SC</v>
          </cell>
          <cell r="G314" t="str">
            <v>EG</v>
          </cell>
          <cell r="H314" t="str">
            <v>M</v>
          </cell>
          <cell r="I314" t="str">
            <v>H</v>
          </cell>
          <cell r="J314" t="str">
            <v>Closed</v>
          </cell>
          <cell r="K314" t="str">
            <v>[See 314, 318] In the Link Overview screen, the TPM column still shows “yes” after removing the member assigned to a portfolio. Also refer to the screens on p. 24 that show the member was removed from the portfolio.</v>
          </cell>
          <cell r="L314" t="str">
            <v>-</v>
          </cell>
          <cell r="M314" t="str">
            <v>..\SCREEN SHOTS\Incidents 02 Sept\Helen\02Sep99-cycle4.doc</v>
          </cell>
          <cell r="N314" t="str">
            <v xml:space="preserve"> 02 Sept 99: Verified fix in v1.4+ [Helen].</v>
          </cell>
          <cell r="O314" t="str">
            <v>P1</v>
          </cell>
          <cell r="P314">
            <v>1.4</v>
          </cell>
        </row>
        <row r="315">
          <cell r="A315">
            <v>314</v>
          </cell>
          <cell r="B315">
            <v>36399</v>
          </cell>
          <cell r="C315" t="str">
            <v>Helen</v>
          </cell>
          <cell r="D315" t="str">
            <v>U</v>
          </cell>
          <cell r="E315" t="str">
            <v>CT</v>
          </cell>
          <cell r="F315" t="str">
            <v>SC</v>
          </cell>
          <cell r="G315" t="str">
            <v>EG</v>
          </cell>
          <cell r="H315" t="str">
            <v>M</v>
          </cell>
          <cell r="I315" t="str">
            <v>H</v>
          </cell>
          <cell r="J315" t="str">
            <v>Dup</v>
          </cell>
          <cell r="K315" t="str">
            <v>[See 313, 318] [See related incidents 316, 317] User is unable to unlink a base even after the member assigned to the portfolio was removed. (The operation of removing portfolio member is unauthorized). Is this to be provided in Rel 1.4?</v>
          </cell>
          <cell r="L315" t="str">
            <v>-</v>
          </cell>
          <cell r="M315" t="str">
            <v>..\SCREEN SHOTS\Incidents 27 Aug\Helen\2627Aug99-cycle3.doc</v>
          </cell>
          <cell r="N315" t="str">
            <v>28 Aug 99: Duplicate of 313 [Sandeep].</v>
          </cell>
          <cell r="O315" t="str">
            <v>P1</v>
          </cell>
          <cell r="P315">
            <v>1.4</v>
          </cell>
        </row>
        <row r="316">
          <cell r="A316">
            <v>315</v>
          </cell>
          <cell r="B316">
            <v>36399</v>
          </cell>
          <cell r="C316" t="str">
            <v>Helen</v>
          </cell>
          <cell r="D316" t="str">
            <v>U</v>
          </cell>
          <cell r="E316" t="str">
            <v>CT</v>
          </cell>
          <cell r="F316" t="str">
            <v>SC</v>
          </cell>
          <cell r="G316" t="str">
            <v>EG</v>
          </cell>
          <cell r="H316" t="str">
            <v>L</v>
          </cell>
          <cell r="I316" t="str">
            <v>L</v>
          </cell>
          <cell r="J316" t="str">
            <v>Closed</v>
          </cell>
          <cell r="K316" t="str">
            <v>The text box on member role details is “blocked” by the Cancel button.</v>
          </cell>
          <cell r="L316" t="str">
            <v>-</v>
          </cell>
          <cell r="M316" t="str">
            <v>..\SCREEN SHOTS\Incidents 02 Sept\Helen\02Sep99-cycle4.doc</v>
          </cell>
          <cell r="N316" t="str">
            <v xml:space="preserve"> 02 Sept 99: Verified fix in v1.4+ [Helen].</v>
          </cell>
          <cell r="O316" t="str">
            <v>P1</v>
          </cell>
          <cell r="P316">
            <v>1.4</v>
          </cell>
        </row>
        <row r="317">
          <cell r="A317">
            <v>316</v>
          </cell>
          <cell r="B317">
            <v>36399</v>
          </cell>
          <cell r="C317" t="str">
            <v>Helen</v>
          </cell>
          <cell r="D317" t="str">
            <v>U</v>
          </cell>
          <cell r="E317" t="str">
            <v>CT</v>
          </cell>
          <cell r="F317" t="str">
            <v>SC</v>
          </cell>
          <cell r="G317" t="str">
            <v>EG</v>
          </cell>
          <cell r="H317" t="str">
            <v>L</v>
          </cell>
          <cell r="I317" t="str">
            <v>M</v>
          </cell>
          <cell r="J317" t="str">
            <v>Closed</v>
          </cell>
          <cell r="K317" t="str">
            <v xml:space="preserve">[See 317] [See related incidents 314] After removing the LEG member, the unauthorized transaction was no longer displayed under the Roles column and this is correct. However, the “U” (unauthorized) symbol next to “Priority” (Service Tier) also disappears </v>
          </cell>
          <cell r="L317" t="str">
            <v>-</v>
          </cell>
          <cell r="M317" t="str">
            <v>..\SCREEN SHOTS\Incidents 02 Sept\Helen\02Sep99-cycle4.doc</v>
          </cell>
          <cell r="N317" t="str">
            <v>28 Aug 99: Duplicate of 317 [Sandeep]. 02 Sept 99: Verified fix in v1.4+ [Helen].</v>
          </cell>
          <cell r="O317" t="str">
            <v>P1</v>
          </cell>
          <cell r="P317">
            <v>1.4</v>
          </cell>
        </row>
        <row r="318">
          <cell r="A318">
            <v>317</v>
          </cell>
          <cell r="B318">
            <v>36399</v>
          </cell>
          <cell r="C318" t="str">
            <v>Helen</v>
          </cell>
          <cell r="D318" t="str">
            <v>U</v>
          </cell>
          <cell r="E318" t="str">
            <v>CT</v>
          </cell>
          <cell r="F318" t="str">
            <v>SC</v>
          </cell>
          <cell r="G318" t="str">
            <v>EG</v>
          </cell>
          <cell r="H318" t="str">
            <v>M</v>
          </cell>
          <cell r="I318" t="str">
            <v>H</v>
          </cell>
          <cell r="J318" t="str">
            <v>Dup</v>
          </cell>
          <cell r="K318" t="str">
            <v xml:space="preserve">[See 316 ] [See related incidents 314] In the GEG Overview screen, new account is linked and portfolio member added to the Hong Kong LEG, however the “U” (unauthorized) symbol is not displayed next to “Priority”. </v>
          </cell>
          <cell r="L318" t="str">
            <v>-</v>
          </cell>
          <cell r="M318" t="str">
            <v>..\SCREEN SHOTS\Incidents 27 Aug\Helen\2627Aug99-cycle3.doc</v>
          </cell>
          <cell r="N318" t="str">
            <v>28 Aug 99: Duplicate of 316 [Sandeep].</v>
          </cell>
          <cell r="O318" t="str">
            <v>P1</v>
          </cell>
          <cell r="P318">
            <v>1.4</v>
          </cell>
        </row>
        <row r="319">
          <cell r="A319">
            <v>318</v>
          </cell>
          <cell r="B319">
            <v>36399</v>
          </cell>
          <cell r="C319" t="str">
            <v>Helen</v>
          </cell>
          <cell r="D319" t="str">
            <v>U</v>
          </cell>
          <cell r="E319" t="str">
            <v>CT</v>
          </cell>
          <cell r="F319" t="str">
            <v>SC</v>
          </cell>
          <cell r="G319" t="str">
            <v>Inq</v>
          </cell>
          <cell r="H319" t="str">
            <v>M</v>
          </cell>
          <cell r="I319" t="str">
            <v>H</v>
          </cell>
          <cell r="J319" t="str">
            <v>Dup</v>
          </cell>
          <cell r="K319" t="str">
            <v>[See 313, 314] The portfolio member “Liu Huan Chang” has been removed twice (refer to page 39 of the screen shot) but still appears in the Member Roles box.</v>
          </cell>
          <cell r="L319" t="str">
            <v>-</v>
          </cell>
          <cell r="M319" t="str">
            <v>..\SCREEN SHOTS\Incidents 27 Aug\Helen\2627Aug99-cycle3.doc</v>
          </cell>
          <cell r="N319" t="str">
            <v>28 Aug 99: Duplicate of 313 [Sandeep].</v>
          </cell>
          <cell r="O319" t="str">
            <v>P1</v>
          </cell>
          <cell r="P319">
            <v>1.4</v>
          </cell>
        </row>
        <row r="320">
          <cell r="A320">
            <v>319</v>
          </cell>
          <cell r="B320">
            <v>36399</v>
          </cell>
          <cell r="C320" t="str">
            <v>Helen</v>
          </cell>
          <cell r="D320" t="str">
            <v>U</v>
          </cell>
          <cell r="E320" t="str">
            <v>DR</v>
          </cell>
          <cell r="F320" t="str">
            <v>AW</v>
          </cell>
          <cell r="G320" t="str">
            <v>Inq</v>
          </cell>
          <cell r="H320" t="str">
            <v>M</v>
          </cell>
          <cell r="I320" t="str">
            <v>H</v>
          </cell>
          <cell r="J320" t="str">
            <v>Closed</v>
          </cell>
          <cell r="K320" t="str">
            <v xml:space="preserve">[See 345, 385] We have requested to have a total MTM in USD for all OTC options in the portfolio but the “Total Mark-To-Market in USD” is displayed 4 times without any figures. Also, there is no trade date displayed. Please check if we have trade date in </v>
          </cell>
          <cell r="L320" t="str">
            <v>-</v>
          </cell>
          <cell r="M320" t="str">
            <v>\\FS666F04\USER1\JROITMAN\INTERIM_JACOB\SCREEN SHOTS\23 Sept 99\Helen\23Sep99-retest1.5.doc</v>
          </cell>
          <cell r="N320" t="str">
            <v xml:space="preserve">1 Sep 99: Trade Date is not available in SBOS and therefore is not mapped. Would Helen please close the incident [Aegidia]. 1 Sep 99: What about the duplication of MTM [Helen]? In view of these comments, the incident is split, see 385 [Bharat]. 2 Sep 99: </v>
          </cell>
          <cell r="O320" t="str">
            <v>P1</v>
          </cell>
          <cell r="P320">
            <v>1.5</v>
          </cell>
        </row>
        <row r="321">
          <cell r="A321">
            <v>320</v>
          </cell>
          <cell r="B321">
            <v>36399</v>
          </cell>
          <cell r="C321" t="str">
            <v>Helen</v>
          </cell>
          <cell r="D321" t="str">
            <v>U</v>
          </cell>
          <cell r="E321" t="str">
            <v>DR</v>
          </cell>
          <cell r="F321" t="str">
            <v>AW</v>
          </cell>
          <cell r="G321" t="str">
            <v>Inq</v>
          </cell>
          <cell r="H321" t="str">
            <v>M</v>
          </cell>
          <cell r="I321" t="str">
            <v>H</v>
          </cell>
          <cell r="J321" t="str">
            <v>Closed</v>
          </cell>
          <cell r="K321" t="str">
            <v>The Position Detail screen of OTC options is verified against the SBOS screen (below). All the MTM values in CSP are incorrect.</v>
          </cell>
          <cell r="L321" t="str">
            <v>-</v>
          </cell>
          <cell r="M321" t="str">
            <v>..\SCREEN SHOTS\Incidents 27 Aug\Helen\2627Aug99-cycle3.doc</v>
          </cell>
          <cell r="N321" t="str">
            <v>1 Sep 99: Fixed. Helen to re-test on 2 Sep [Aegidia]. Verified in v1.4 [Helen].</v>
          </cell>
          <cell r="O321" t="str">
            <v>P1</v>
          </cell>
          <cell r="P321">
            <v>1.4</v>
          </cell>
        </row>
        <row r="322">
          <cell r="A322">
            <v>321</v>
          </cell>
          <cell r="B322">
            <v>36399</v>
          </cell>
          <cell r="C322" t="str">
            <v>Miranda</v>
          </cell>
          <cell r="D322" t="str">
            <v>U</v>
          </cell>
          <cell r="E322" t="str">
            <v>UT</v>
          </cell>
          <cell r="F322" t="str">
            <v>PA</v>
          </cell>
          <cell r="G322" t="str">
            <v>SCL</v>
          </cell>
          <cell r="H322" t="str">
            <v>L</v>
          </cell>
          <cell r="I322" t="str">
            <v>M</v>
          </cell>
          <cell r="J322" t="str">
            <v>Closed</v>
          </cell>
          <cell r="K322" t="str">
            <v>In Action Item's In-Progress option, there is no function key to change/revise the target date.</v>
          </cell>
          <cell r="L322" t="str">
            <v>-</v>
          </cell>
          <cell r="M322" t="str">
            <v>Incidents 27Aug99\Miranda\CSP UAT Incidents on Aug. 27 - MC.doc</v>
          </cell>
          <cell r="N322" t="str">
            <v>30 Aug 99: The originator of the action cannot be the resolver [Sandeep]. CIU to verify that they can change target dates [Jacob].</v>
          </cell>
          <cell r="O322" t="str">
            <v>P1</v>
          </cell>
          <cell r="P322">
            <v>1.4</v>
          </cell>
        </row>
        <row r="323">
          <cell r="A323">
            <v>322</v>
          </cell>
          <cell r="B323">
            <v>36399</v>
          </cell>
          <cell r="C323" t="str">
            <v>Miranda</v>
          </cell>
          <cell r="D323" t="str">
            <v>U</v>
          </cell>
          <cell r="E323" t="str">
            <v>NR</v>
          </cell>
          <cell r="F323" t="str">
            <v>PA</v>
          </cell>
          <cell r="G323" t="str">
            <v>Inq</v>
          </cell>
          <cell r="H323" t="str">
            <v>L</v>
          </cell>
          <cell r="I323" t="str">
            <v>?</v>
          </cell>
          <cell r="J323" t="str">
            <v>Auth</v>
          </cell>
          <cell r="K323" t="str">
            <v>Add “Client Relationship” and “Member” under Select Search Criteria in Reports.</v>
          </cell>
          <cell r="L323" t="str">
            <v>-</v>
          </cell>
          <cell r="M323" t="str">
            <v>Incidents 27Aug99\Miranda\CSP UAT Incidents on Aug. 27 - MC.doc</v>
          </cell>
          <cell r="O323" t="str">
            <v>P2</v>
          </cell>
        </row>
        <row r="324">
          <cell r="A324">
            <v>323</v>
          </cell>
          <cell r="B324">
            <v>36399</v>
          </cell>
          <cell r="C324" t="str">
            <v>Andrew</v>
          </cell>
          <cell r="D324" t="str">
            <v>U</v>
          </cell>
          <cell r="E324" t="str">
            <v>DR</v>
          </cell>
          <cell r="F324" t="str">
            <v>AW</v>
          </cell>
          <cell r="G324" t="str">
            <v>Inq</v>
          </cell>
          <cell r="H324" t="str">
            <v>M</v>
          </cell>
          <cell r="I324" t="str">
            <v>H</v>
          </cell>
          <cell r="J324" t="str">
            <v>Closed</v>
          </cell>
          <cell r="K324" t="str">
            <v>The following Systematics bases cannot be found in CSP: 145511, 287797, 294068, 305033, 311904, 520323.</v>
          </cell>
          <cell r="L324" t="str">
            <v>-</v>
          </cell>
          <cell r="M324" t="str">
            <v>-</v>
          </cell>
          <cell r="N324" t="str">
            <v>10 Sep 99: Verified fix in v1.5+ in PAT [Andrew].</v>
          </cell>
          <cell r="O324" t="str">
            <v>P1</v>
          </cell>
          <cell r="P324">
            <v>1.5</v>
          </cell>
        </row>
        <row r="325">
          <cell r="A325">
            <v>324</v>
          </cell>
          <cell r="B325">
            <v>36399</v>
          </cell>
          <cell r="C325" t="str">
            <v>Miranda</v>
          </cell>
          <cell r="D325" t="str">
            <v>U</v>
          </cell>
          <cell r="E325" t="str">
            <v>NR</v>
          </cell>
          <cell r="F325" t="str">
            <v>PA</v>
          </cell>
          <cell r="G325" t="str">
            <v>Inq</v>
          </cell>
          <cell r="H325" t="str">
            <v>M</v>
          </cell>
          <cell r="I325" t="str">
            <v>H</v>
          </cell>
          <cell r="J325" t="str">
            <v>Auth</v>
          </cell>
          <cell r="K325" t="str">
            <v>There are no figures of “yield to maturity” for Treasury Bills.</v>
          </cell>
          <cell r="L325" t="str">
            <v>-</v>
          </cell>
          <cell r="M325" t="str">
            <v>Incidents 27Aug99\Miranda\CSP UAT Incidents on Aug. 27 (2nd) - MC.doc</v>
          </cell>
          <cell r="N325" t="str">
            <v>1 Sep 99: Yield-to-Maturity is not available in SBOS and therefore is not mapped. Would Miranda please close the incident [Aegidia]. Changed from DR to NR as this requires a changed to SBOS and then CSP [Bharat].</v>
          </cell>
          <cell r="O325" t="str">
            <v>P2</v>
          </cell>
        </row>
        <row r="326">
          <cell r="A326">
            <v>325</v>
          </cell>
          <cell r="B326">
            <v>36399</v>
          </cell>
          <cell r="C326" t="str">
            <v>Miranda</v>
          </cell>
          <cell r="D326" t="str">
            <v>U</v>
          </cell>
          <cell r="E326" t="str">
            <v>DR</v>
          </cell>
          <cell r="F326" t="str">
            <v>AW</v>
          </cell>
          <cell r="G326" t="str">
            <v>Inq</v>
          </cell>
          <cell r="H326" t="str">
            <v>M</v>
          </cell>
          <cell r="I326" t="str">
            <v>H</v>
          </cell>
          <cell r="J326" t="str">
            <v>Closed</v>
          </cell>
          <cell r="K326" t="str">
            <v>Incident 94 can be closed since the calculation is correct now but the market price should not be in the format of “0.97”. The market practice for bond price should be 97.45 as shown in SBOS.</v>
          </cell>
          <cell r="L326" t="str">
            <v>-</v>
          </cell>
          <cell r="M326" t="str">
            <v>Incidents 27Aug99\Miranda\CSP UAT Incidents on Aug. 27 (2nd) - MC.doc</v>
          </cell>
          <cell r="N326" t="str">
            <v>01 Sept 99: Fixed [Aegidia]. Verified fix in v1.4 [Miranda].</v>
          </cell>
          <cell r="O326" t="str">
            <v>P1</v>
          </cell>
          <cell r="P326">
            <v>1.4</v>
          </cell>
        </row>
        <row r="327">
          <cell r="A327">
            <v>326</v>
          </cell>
          <cell r="B327">
            <v>36399</v>
          </cell>
          <cell r="C327" t="str">
            <v>Miranda</v>
          </cell>
          <cell r="D327" t="str">
            <v>U</v>
          </cell>
          <cell r="E327" t="str">
            <v>DR</v>
          </cell>
          <cell r="F327" t="str">
            <v>AW</v>
          </cell>
          <cell r="G327" t="str">
            <v>Inq</v>
          </cell>
          <cell r="H327" t="str">
            <v>M</v>
          </cell>
          <cell r="I327" t="str">
            <v>H</v>
          </cell>
          <cell r="J327" t="str">
            <v>Auth</v>
          </cell>
          <cell r="K327" t="str">
            <v>In Treasury Bills, the two holdings of “CP Pacific Dunlop” were shown as one holding in CSP but actually they are in two different branches.</v>
          </cell>
          <cell r="L327" t="str">
            <v>-</v>
          </cell>
          <cell r="M327" t="str">
            <v>Incidents 27Aug99\Miranda\CSP UAT Incidents on Aug. 27 (2nd) - MC.doc</v>
          </cell>
          <cell r="N327" t="str">
            <v>01 Sept 99: It is very confusing to the user, when placing an order, to sell the entire holdings in the market when in fact they are two different holdings. The details of the tenor can be captured from “EVAL” in SBOS [Miranda]. 1 Sep 99: SBOS sums equity</v>
          </cell>
          <cell r="O327" t="str">
            <v>P1</v>
          </cell>
        </row>
        <row r="328">
          <cell r="A328">
            <v>327</v>
          </cell>
          <cell r="B328">
            <v>36399</v>
          </cell>
          <cell r="C328" t="str">
            <v>Miranda</v>
          </cell>
          <cell r="D328" t="str">
            <v>U</v>
          </cell>
          <cell r="E328" t="str">
            <v>DR</v>
          </cell>
          <cell r="F328" t="str">
            <v>AW</v>
          </cell>
          <cell r="G328" t="str">
            <v>Inq</v>
          </cell>
          <cell r="H328" t="str">
            <v>M</v>
          </cell>
          <cell r="I328" t="str">
            <v>H</v>
          </cell>
          <cell r="J328" t="str">
            <v>Closed</v>
          </cell>
          <cell r="K328" t="str">
            <v>This refers to my previous request: “do not map the accrued interest” in the Portfolio details screen. Otherwise, the total value of the call deposit would be wrong.</v>
          </cell>
          <cell r="L328" t="str">
            <v>-</v>
          </cell>
          <cell r="M328" t="str">
            <v>Incidents 27Aug99\Miranda\CSP UAT Incidents on Aug. 27 (2nd) - MC.doc</v>
          </cell>
          <cell r="N328" t="str">
            <v>4 Sep 99: Fixed [Aegidia]. 4 Sep 99: Fixed verified in v1.5 [Miranda].</v>
          </cell>
          <cell r="O328" t="str">
            <v>P1</v>
          </cell>
          <cell r="P328">
            <v>1.5</v>
          </cell>
        </row>
        <row r="329">
          <cell r="A329">
            <v>328</v>
          </cell>
          <cell r="B329">
            <v>36399</v>
          </cell>
          <cell r="C329" t="str">
            <v>Miranda</v>
          </cell>
          <cell r="D329" t="str">
            <v>U</v>
          </cell>
          <cell r="E329" t="str">
            <v>DR</v>
          </cell>
          <cell r="F329" t="str">
            <v>AW</v>
          </cell>
          <cell r="G329" t="str">
            <v>Inq</v>
          </cell>
          <cell r="H329" t="str">
            <v>M</v>
          </cell>
          <cell r="I329" t="str">
            <v>H</v>
          </cell>
          <cell r="J329" t="str">
            <v>Closed</v>
          </cell>
          <cell r="K329" t="str">
            <v>The amount of accrued interest of the loan in CSP is one cent different from the figure in SBOS. But the amount is not truncated in this case.</v>
          </cell>
          <cell r="L329" t="str">
            <v>-</v>
          </cell>
          <cell r="M329" t="str">
            <v>Incidents 27Aug99\Miranda\CSP UAT Incidents on Aug. 27 (2nd) - MC.doc</v>
          </cell>
          <cell r="N329" t="str">
            <v>1 Sep 99: Fixed. Miranda to re-test [Aegidia]. 4 Sep 99: Verified fix in v1.5 [Miranda].</v>
          </cell>
          <cell r="O329" t="str">
            <v>P1</v>
          </cell>
          <cell r="P329">
            <v>1.4</v>
          </cell>
        </row>
        <row r="330">
          <cell r="A330">
            <v>329</v>
          </cell>
          <cell r="B330">
            <v>36399</v>
          </cell>
          <cell r="C330" t="str">
            <v>Miranda</v>
          </cell>
          <cell r="D330" t="str">
            <v>U</v>
          </cell>
          <cell r="E330" t="str">
            <v>DR</v>
          </cell>
          <cell r="F330" t="str">
            <v>AW</v>
          </cell>
          <cell r="G330" t="str">
            <v>Inq</v>
          </cell>
          <cell r="H330" t="str">
            <v>M</v>
          </cell>
          <cell r="I330" t="str">
            <v>H</v>
          </cell>
          <cell r="J330" t="str">
            <v>Re-Raised</v>
          </cell>
          <cell r="K330" t="str">
            <v>The interest rates of the premium deposits are not correct, hence, the calculation of the maturity amount is also wrong.</v>
          </cell>
          <cell r="L330" t="str">
            <v>-</v>
          </cell>
          <cell r="M330" t="str">
            <v>\\FS666F04\USER1\JROITMAN\INTERIM_JACOB\SCREEN SHOTS\28 Sept 99\CSP Retest result as of Sept. 27 - MC.doc</v>
          </cell>
          <cell r="N330" t="str">
            <v xml:space="preserve">1 Sep 99: Fixed. Miranda to re-test [Aegidia]. 4 Sep 99: Failed verification in v1.5 [Miranda]. 06 Sept 99: Calculations for total M-T-M for Structured Deposit were incorrect for USD.[Aegidia]. 06 Sept 99: As per the feed document, the field length to be </v>
          </cell>
          <cell r="O330" t="str">
            <v>P1</v>
          </cell>
          <cell r="P330">
            <v>1.4</v>
          </cell>
        </row>
        <row r="331">
          <cell r="A331">
            <v>330</v>
          </cell>
          <cell r="B331">
            <v>36399</v>
          </cell>
          <cell r="C331" t="str">
            <v>Miranda</v>
          </cell>
          <cell r="D331" t="str">
            <v>U</v>
          </cell>
          <cell r="E331" t="str">
            <v>NR</v>
          </cell>
          <cell r="F331" t="str">
            <v>PA</v>
          </cell>
          <cell r="G331" t="str">
            <v>Inq</v>
          </cell>
          <cell r="H331" t="str">
            <v>M</v>
          </cell>
          <cell r="I331" t="str">
            <v>H</v>
          </cell>
          <cell r="J331" t="str">
            <v>Auth</v>
          </cell>
          <cell r="K331" t="str">
            <v>In Floating Rate Notes, the cost rate doesn’t show and the market price is not shown correctly same as the bond price</v>
          </cell>
          <cell r="L331" t="str">
            <v>-</v>
          </cell>
          <cell r="M331" t="str">
            <v>..\SCREEN SHOTS\Incidents 08 Sept\Miranda\CSP UAT Incidents on Sept. 8.doc</v>
          </cell>
          <cell r="N331" t="str">
            <v>1 Sep 99: Trade Date is not available in SBOS and therefore is not mapped [Aegidia]. Hence, changed from DR to NR as this requires a change to SBOS and then to CSP [Bharat]. 08 Sept 99: Re-test results still indicate problem [Miranda].</v>
          </cell>
          <cell r="O331" t="str">
            <v>P2</v>
          </cell>
        </row>
        <row r="332">
          <cell r="A332">
            <v>331</v>
          </cell>
          <cell r="B332">
            <v>36399</v>
          </cell>
          <cell r="C332" t="str">
            <v>Miranda</v>
          </cell>
          <cell r="D332" t="str">
            <v>U</v>
          </cell>
          <cell r="E332" t="str">
            <v>DR</v>
          </cell>
          <cell r="F332" t="str">
            <v>AW</v>
          </cell>
          <cell r="G332" t="str">
            <v>Inq</v>
          </cell>
          <cell r="H332" t="str">
            <v>M</v>
          </cell>
          <cell r="I332" t="str">
            <v>H</v>
          </cell>
          <cell r="J332" t="str">
            <v>Re-Raised</v>
          </cell>
          <cell r="K332" t="str">
            <v>In OTC Options: (1) the Alt ccy does not appear. (2) The strike prices for ref#1593020 &amp; #1596570 are not matched with the prices in SBOS. (3) The amount of the MTM (ref ccy) are not equivalent to the figures in SBOS.</v>
          </cell>
          <cell r="L332" t="str">
            <v>-</v>
          </cell>
          <cell r="M332" t="str">
            <v>\\FS666F04\USER1\JROITMAN\INTERIM_JACOB\SCREEN SHOTS\23 Sept 99\Miranda\CSP UAT Retest result as of Sept. 23 - MC1.doc</v>
          </cell>
          <cell r="N332" t="str">
            <v>4 Sep 99: Fixed [Aegidia]. 6 Sep 99: (1) and (3) verified in v1.5+. (2) Failed verification in v1.5+ [Miranda]. You have not provisioned for Decimals. That is the reason, decimals are missing from the value.[Aegidia]. 07 Sept 99: Strike price should be SZ</v>
          </cell>
          <cell r="O332" t="str">
            <v>P1</v>
          </cell>
          <cell r="P332">
            <v>1.5</v>
          </cell>
        </row>
        <row r="333">
          <cell r="A333">
            <v>332</v>
          </cell>
          <cell r="B333">
            <v>36402</v>
          </cell>
          <cell r="C333" t="str">
            <v>Iida</v>
          </cell>
          <cell r="D333" t="str">
            <v>U</v>
          </cell>
          <cell r="E333" t="str">
            <v>CT</v>
          </cell>
          <cell r="F333" t="str">
            <v>SC</v>
          </cell>
          <cell r="G333" t="str">
            <v>Inq</v>
          </cell>
          <cell r="H333" t="str">
            <v>M</v>
          </cell>
          <cell r="I333" t="str">
            <v>H</v>
          </cell>
          <cell r="J333" t="str">
            <v>Closed</v>
          </cell>
          <cell r="K333" t="str">
            <v>[See 278] In the Structured Deposits details screen: Actual Result = Barrier, Strike and Spot Rates are not displayed on this screen. Preferred = Barrier and Strike Rates should displays on this screen. This is the most important information of Structured</v>
          </cell>
          <cell r="L333" t="str">
            <v>-</v>
          </cell>
          <cell r="M333" t="str">
            <v>Incidents 19Aug99\Iida\request.doc</v>
          </cell>
          <cell r="N333" t="str">
            <v>21 Aug 99: Should be DR. As confirmed by Keith, Strike Rate is synonymous to Strike Price. Strike Price, upon examination of the feed, came as zeros for some transactions (non-zeros for others), and the one looked at by Iida San was one of them. Would Iid</v>
          </cell>
          <cell r="O333" t="str">
            <v>P1</v>
          </cell>
          <cell r="P333">
            <v>1.5</v>
          </cell>
        </row>
        <row r="334">
          <cell r="A334">
            <v>333</v>
          </cell>
          <cell r="B334">
            <v>36402</v>
          </cell>
          <cell r="C334" t="str">
            <v>Aegidia</v>
          </cell>
          <cell r="D334" t="str">
            <v>U</v>
          </cell>
          <cell r="E334" t="str">
            <v>CT</v>
          </cell>
          <cell r="F334" t="str">
            <v>SC</v>
          </cell>
          <cell r="G334" t="str">
            <v>Inq</v>
          </cell>
          <cell r="H334" t="str">
            <v>S</v>
          </cell>
          <cell r="I334" t="str">
            <v>H</v>
          </cell>
          <cell r="J334" t="str">
            <v>Dup</v>
          </cell>
          <cell r="K334" t="str">
            <v>[See 29, 298, 344, 376] In the “Structured Deposits” screen duplicate records are displayed for Tony Ho relationship.</v>
          </cell>
          <cell r="L334" t="str">
            <v>-</v>
          </cell>
          <cell r="M334" t="str">
            <v>Incidents 30Aug99\Aegidia\PRF 990830.doc</v>
          </cell>
          <cell r="N334" t="str">
            <v>2 Sep 99: Verified fix in v1.4+ [Sam].</v>
          </cell>
          <cell r="O334" t="str">
            <v>P1</v>
          </cell>
        </row>
        <row r="335">
          <cell r="A335">
            <v>334</v>
          </cell>
          <cell r="B335">
            <v>36402</v>
          </cell>
          <cell r="C335" t="str">
            <v>Aegidia</v>
          </cell>
          <cell r="D335" t="str">
            <v>U</v>
          </cell>
          <cell r="E335" t="str">
            <v>CT</v>
          </cell>
          <cell r="F335" t="str">
            <v>SC</v>
          </cell>
          <cell r="G335" t="str">
            <v>Inq</v>
          </cell>
          <cell r="H335" t="str">
            <v>M</v>
          </cell>
          <cell r="I335" t="str">
            <v>H</v>
          </cell>
          <cell r="J335" t="str">
            <v>Closed</v>
          </cell>
          <cell r="K335" t="str">
            <v>Portfolio Number/Link missing from “Location Details” screen.</v>
          </cell>
          <cell r="L335" t="str">
            <v>-</v>
          </cell>
          <cell r="M335" t="str">
            <v>Incidents 30Aug99\Aegidia\PRF 990830.doc</v>
          </cell>
          <cell r="N335" t="str">
            <v>1 Sep 99: Fixed [Sandeep]. 2 Sep 99: Verified fix in v1.4+ [Sam].</v>
          </cell>
          <cell r="O335" t="str">
            <v>P1</v>
          </cell>
          <cell r="P335">
            <v>1.4</v>
          </cell>
        </row>
        <row r="336">
          <cell r="A336">
            <v>335</v>
          </cell>
          <cell r="B336">
            <v>36402</v>
          </cell>
          <cell r="C336" t="str">
            <v>Aegidia</v>
          </cell>
          <cell r="D336" t="str">
            <v>U</v>
          </cell>
          <cell r="E336" t="str">
            <v>CT</v>
          </cell>
          <cell r="F336" t="str">
            <v>SC</v>
          </cell>
          <cell r="G336" t="str">
            <v>Inq</v>
          </cell>
          <cell r="H336" t="str">
            <v>M</v>
          </cell>
          <cell r="I336" t="str">
            <v>H</v>
          </cell>
          <cell r="J336" t="str">
            <v>Closed</v>
          </cell>
          <cell r="K336" t="str">
            <v>[See 343] Section of the screen is missing from “Entitlement Group Overview”.</v>
          </cell>
          <cell r="L336" t="str">
            <v>-</v>
          </cell>
          <cell r="M336" t="str">
            <v>Incidents 30Aug99\Aegidia\PRF 990830.doc</v>
          </cell>
          <cell r="N336" t="str">
            <v>1 Sep 99: Fixed [Sandeep]. 2 Sep 99: Verified fix in v1.4+ [Sam].</v>
          </cell>
          <cell r="O336" t="str">
            <v>P1</v>
          </cell>
          <cell r="P336">
            <v>1.4</v>
          </cell>
        </row>
        <row r="337">
          <cell r="A337">
            <v>336</v>
          </cell>
          <cell r="B337">
            <v>36399</v>
          </cell>
          <cell r="C337" t="str">
            <v>Helen</v>
          </cell>
          <cell r="D337" t="str">
            <v>U</v>
          </cell>
          <cell r="E337" t="str">
            <v>DI</v>
          </cell>
          <cell r="F337" t="str">
            <v>PA</v>
          </cell>
          <cell r="G337" t="str">
            <v>Cor</v>
          </cell>
          <cell r="H337" t="str">
            <v>L</v>
          </cell>
          <cell r="I337" t="str">
            <v>L</v>
          </cell>
          <cell r="J337" t="str">
            <v>Closed</v>
          </cell>
          <cell r="K337" t="str">
            <v>We can now access DTS2 data (not the application) by clicking documents under LEG Overview and Portfolio Overview. However, in the client document record window, there is no button for viewing the image.</v>
          </cell>
          <cell r="L337" t="str">
            <v>-</v>
          </cell>
          <cell r="N337" t="str">
            <v>2 Sep 99: Verified fix in v1.4+ [Sam].</v>
          </cell>
          <cell r="O337" t="str">
            <v>P1</v>
          </cell>
          <cell r="P337">
            <v>1.4</v>
          </cell>
        </row>
        <row r="338">
          <cell r="A338">
            <v>337</v>
          </cell>
          <cell r="B338">
            <v>36399</v>
          </cell>
          <cell r="C338" t="str">
            <v>Helen</v>
          </cell>
          <cell r="D338" t="str">
            <v>U</v>
          </cell>
          <cell r="E338" t="str">
            <v>CT</v>
          </cell>
          <cell r="F338" t="str">
            <v>SC</v>
          </cell>
          <cell r="G338" t="str">
            <v>Cor</v>
          </cell>
          <cell r="H338" t="str">
            <v>L</v>
          </cell>
          <cell r="I338" t="str">
            <v>H</v>
          </cell>
          <cell r="J338" t="str">
            <v>Closed</v>
          </cell>
          <cell r="K338" t="str">
            <v>We can now access DTS2 data (not the application) by clicking documents under LEG Overview and Portfolio Overview. However, in the client document record window, while there is more than one base number under a LEG, only the document record list of the fi</v>
          </cell>
          <cell r="L338" t="str">
            <v>-</v>
          </cell>
          <cell r="N338" t="str">
            <v xml:space="preserve">1 Sep 99: Fixed [Sandeep]. 02 Sept 99: Verified fix in v1.4+ [Helen].  17 Sept 99: This has been fixed by the ClientWindow team and will be ready for re-test on 20 Sep.[Aegidia]   
</v>
          </cell>
          <cell r="O338" t="str">
            <v>P1</v>
          </cell>
          <cell r="P338">
            <v>1.4</v>
          </cell>
        </row>
        <row r="339">
          <cell r="A339">
            <v>338</v>
          </cell>
          <cell r="B339">
            <v>36402</v>
          </cell>
          <cell r="C339" t="str">
            <v>Helen</v>
          </cell>
          <cell r="D339" t="str">
            <v>U</v>
          </cell>
          <cell r="E339" t="str">
            <v>CT</v>
          </cell>
          <cell r="F339" t="str">
            <v>SC</v>
          </cell>
          <cell r="G339" t="str">
            <v>Inq</v>
          </cell>
          <cell r="H339" t="str">
            <v>M</v>
          </cell>
          <cell r="I339" t="str">
            <v>H</v>
          </cell>
          <cell r="J339" t="str">
            <v>Closed</v>
          </cell>
          <cell r="K339" t="str">
            <v>The following screen (Entitlement Group Overview) was reloaded three times (by right-clicking the mouse and select “reload frame” option) but the screen remains almost empty.</v>
          </cell>
          <cell r="L339" t="str">
            <v>-</v>
          </cell>
          <cell r="M339" t="str">
            <v>Incidents 30Aug99\Helen\30Aug99-cycle4.doc</v>
          </cell>
          <cell r="N339" t="str">
            <v xml:space="preserve">3 Sep 99: Fixed in v1.5 [Sandeep]. 06 Sept 99: Fix verified by Helen in v1.5+. </v>
          </cell>
          <cell r="O339" t="str">
            <v>P1</v>
          </cell>
          <cell r="P339">
            <v>1.5</v>
          </cell>
        </row>
        <row r="340">
          <cell r="A340">
            <v>339</v>
          </cell>
          <cell r="B340">
            <v>36402</v>
          </cell>
          <cell r="C340" t="str">
            <v>Helen</v>
          </cell>
          <cell r="D340" t="str">
            <v>U</v>
          </cell>
          <cell r="E340" t="str">
            <v>CT</v>
          </cell>
          <cell r="F340" t="str">
            <v>SC</v>
          </cell>
          <cell r="G340" t="str">
            <v>Inq</v>
          </cell>
          <cell r="H340" t="str">
            <v>M</v>
          </cell>
          <cell r="I340" t="str">
            <v>H</v>
          </cell>
          <cell r="J340" t="str">
            <v>Auth</v>
          </cell>
          <cell r="K340" t="str">
            <v>There are two columns of indicators “P” and “B”. We have requested to have “B” (Blocked) indicator only at portfolio level.</v>
          </cell>
          <cell r="L340" t="str">
            <v>-</v>
          </cell>
          <cell r="M340" t="str">
            <v>Incidents 30Aug99\Helen\30Aug99-cycle4.doc</v>
          </cell>
          <cell r="N340" t="str">
            <v>3 Sep 99: Requires a screen change, hence target it for Phase 2. For phase 1, both columns are to display B's information [Sandeep].</v>
          </cell>
          <cell r="O340" t="str">
            <v>P2</v>
          </cell>
        </row>
        <row r="341">
          <cell r="A341">
            <v>340</v>
          </cell>
          <cell r="B341">
            <v>36402</v>
          </cell>
          <cell r="C341" t="str">
            <v>Helen</v>
          </cell>
          <cell r="D341" t="str">
            <v>U</v>
          </cell>
          <cell r="E341" t="str">
            <v>CT</v>
          </cell>
          <cell r="F341" t="str">
            <v>SC</v>
          </cell>
          <cell r="G341" t="str">
            <v>Inq</v>
          </cell>
          <cell r="H341" t="str">
            <v>M</v>
          </cell>
          <cell r="I341" t="str">
            <v>H</v>
          </cell>
          <cell r="J341" t="str">
            <v>Closed</v>
          </cell>
          <cell r="K341" t="str">
            <v>There used to be a hyperlink for each of the portfolios listed under “Location Details” such that the user can click on the portfolio number to reach the “Portfolio Overview” screen. These hyperlinks have disappeared in release 1.4.</v>
          </cell>
          <cell r="L341" t="str">
            <v>-</v>
          </cell>
          <cell r="M341" t="str">
            <v>Incidents 30Aug99\Helen\30Aug99-cycle4.doc</v>
          </cell>
          <cell r="N341" t="str">
            <v>1 Sep 99: Fixed [Sandeep]. 02 Sept 99: Verified fix in v1.4+ [Helen].</v>
          </cell>
          <cell r="O341" t="str">
            <v>P1</v>
          </cell>
          <cell r="P341">
            <v>1.4</v>
          </cell>
        </row>
        <row r="342">
          <cell r="A342">
            <v>341</v>
          </cell>
          <cell r="B342">
            <v>36402</v>
          </cell>
          <cell r="C342" t="str">
            <v>Helen</v>
          </cell>
          <cell r="D342" t="str">
            <v>U</v>
          </cell>
          <cell r="E342" t="str">
            <v>CT</v>
          </cell>
          <cell r="F342" t="str">
            <v>SC</v>
          </cell>
          <cell r="G342" t="str">
            <v>Cor</v>
          </cell>
          <cell r="H342" t="str">
            <v>M</v>
          </cell>
          <cell r="I342" t="str">
            <v>H</v>
          </cell>
          <cell r="J342" t="str">
            <v>Fixed</v>
          </cell>
          <cell r="K342" t="str">
            <v>Attempted to launch context-sensitive corridor to SBOS-SIN from Current Accounts Position Detail screen but the message given was “connection closed”. This is not true as the user can log on to SBOS directly via Extra Client (see next page). Also, the use</v>
          </cell>
          <cell r="L342" t="str">
            <v>-</v>
          </cell>
          <cell r="M342" t="str">
            <v>Incidents 30Aug99\Helen\30Aug99-cycle4.doc</v>
          </cell>
          <cell r="N342" t="str">
            <v>2 Sep 99: Should be Phase 1 [Sam]. 3 Sep 99: Fixed in v1.5 [Sandeep].</v>
          </cell>
          <cell r="O342" t="str">
            <v>P1</v>
          </cell>
          <cell r="P342">
            <v>1.5</v>
          </cell>
        </row>
        <row r="343">
          <cell r="A343">
            <v>342</v>
          </cell>
          <cell r="B343">
            <v>36402</v>
          </cell>
          <cell r="C343" t="str">
            <v>Andrew</v>
          </cell>
          <cell r="D343" t="str">
            <v>U</v>
          </cell>
          <cell r="E343" t="str">
            <v>CT</v>
          </cell>
          <cell r="F343" t="str">
            <v>SC</v>
          </cell>
          <cell r="G343" t="str">
            <v>Inq</v>
          </cell>
          <cell r="H343" t="str">
            <v>M</v>
          </cell>
          <cell r="I343" t="str">
            <v>H</v>
          </cell>
          <cell r="J343" t="str">
            <v>Closed</v>
          </cell>
          <cell r="K343" t="str">
            <v>[See 346, 375] Performance: From the Portfolio Overview screen, the system response to go back to the Relationship Overview screen is taking about 2 minutes (30 Aug 1999, 2:30pm SG time).</v>
          </cell>
          <cell r="L343" t="str">
            <v>-</v>
          </cell>
          <cell r="M343" t="str">
            <v>Incidents 30Aug99\Andrew\Aug 30.doc</v>
          </cell>
          <cell r="N343" t="str">
            <v>3 Sep 99: Fixed in v1.5 [Sandeep]. 4 Sep 99: Verified fix in v1.5 [Andrew].</v>
          </cell>
          <cell r="O343" t="str">
            <v>P1</v>
          </cell>
          <cell r="P343">
            <v>1.5</v>
          </cell>
        </row>
        <row r="344">
          <cell r="A344">
            <v>343</v>
          </cell>
          <cell r="B344">
            <v>36402</v>
          </cell>
          <cell r="C344" t="str">
            <v>Andrew</v>
          </cell>
          <cell r="D344" t="str">
            <v>U</v>
          </cell>
          <cell r="E344" t="str">
            <v>CT</v>
          </cell>
          <cell r="F344" t="str">
            <v>SC</v>
          </cell>
          <cell r="G344" t="str">
            <v>Inq</v>
          </cell>
          <cell r="H344" t="str">
            <v>M</v>
          </cell>
          <cell r="I344" t="str">
            <v>H</v>
          </cell>
          <cell r="J344" t="str">
            <v>Closed</v>
          </cell>
          <cell r="K344" t="str">
            <v>[See 335] Why are there blank fields in the “Entitlement Group Details” screen?</v>
          </cell>
          <cell r="L344" t="str">
            <v>-</v>
          </cell>
          <cell r="M344" t="str">
            <v>Incidents 30Aug99\Andrew\Aug 30.doc</v>
          </cell>
          <cell r="N344" t="str">
            <v>30 Aug 99: Must for Phase 1 [Andrew]. 1 Sep 99: Fixed [Sandeep]. 02 Sept 99: Verified by Andrew in v1.4.</v>
          </cell>
          <cell r="O344" t="str">
            <v>P1</v>
          </cell>
          <cell r="P344">
            <v>1.4</v>
          </cell>
        </row>
        <row r="345">
          <cell r="A345">
            <v>344</v>
          </cell>
          <cell r="B345">
            <v>36402</v>
          </cell>
          <cell r="C345" t="str">
            <v>Andrew</v>
          </cell>
          <cell r="D345" t="str">
            <v>U</v>
          </cell>
          <cell r="E345" t="str">
            <v>CT</v>
          </cell>
          <cell r="F345" t="str">
            <v>SC</v>
          </cell>
          <cell r="G345" t="str">
            <v>Inq</v>
          </cell>
          <cell r="H345" t="str">
            <v>M</v>
          </cell>
          <cell r="I345" t="str">
            <v>H</v>
          </cell>
          <cell r="J345" t="str">
            <v>Dup</v>
          </cell>
          <cell r="K345" t="str">
            <v>[See 298, 333, 376] From Portfolio Overview screen, when I clicked on the Margin Loans, there was no response. Then I clicked again. Then, there is a duplicate of the screens.</v>
          </cell>
          <cell r="L345" t="str">
            <v>-</v>
          </cell>
          <cell r="M345" t="str">
            <v>Incidents 30Aug99\Andrew\Aug 30.doc</v>
          </cell>
          <cell r="N345" t="str">
            <v>30 Aug 99: Must for Phase 1 [Andrew].</v>
          </cell>
          <cell r="O345" t="str">
            <v>P1</v>
          </cell>
        </row>
        <row r="346">
          <cell r="A346">
            <v>345</v>
          </cell>
          <cell r="B346">
            <v>36402</v>
          </cell>
          <cell r="C346" t="str">
            <v>Miranda</v>
          </cell>
          <cell r="D346" t="str">
            <v>U</v>
          </cell>
          <cell r="E346" t="str">
            <v>CT</v>
          </cell>
          <cell r="F346" t="str">
            <v>SC</v>
          </cell>
          <cell r="G346" t="str">
            <v>Inq</v>
          </cell>
          <cell r="H346" t="str">
            <v>M</v>
          </cell>
          <cell r="I346" t="str">
            <v>H</v>
          </cell>
          <cell r="J346" t="str">
            <v>Closed</v>
          </cell>
          <cell r="K346" t="str">
            <v>[See 319] For Structured deposits at Portfolio Level, no market rate as of date and total mark-to-market in USD are displayed.</v>
          </cell>
          <cell r="L346" t="str">
            <v>-</v>
          </cell>
          <cell r="M346" t="str">
            <v>Incidents 30Aug99\Miranda\CSP UAT Incidents on Aug. 30 - MC.doc</v>
          </cell>
          <cell r="N346" t="str">
            <v>6 Sep 99: Fixed in v1.5+ [Sandeep]. 07 Sept 99: Verified fix in v1.5+ [Miranda]. 9 Sep 99: Duplicate of 319 [Sandeep].</v>
          </cell>
          <cell r="O346" t="str">
            <v>P1</v>
          </cell>
          <cell r="P346">
            <v>1.5</v>
          </cell>
        </row>
        <row r="347">
          <cell r="A347">
            <v>346</v>
          </cell>
          <cell r="B347">
            <v>36402</v>
          </cell>
          <cell r="C347" t="str">
            <v>Miranda</v>
          </cell>
          <cell r="D347" t="str">
            <v>U</v>
          </cell>
          <cell r="E347" t="str">
            <v>CT</v>
          </cell>
          <cell r="F347" t="str">
            <v>SC</v>
          </cell>
          <cell r="G347" t="str">
            <v>Inq</v>
          </cell>
          <cell r="H347" t="str">
            <v>M</v>
          </cell>
          <cell r="I347" t="str">
            <v>H</v>
          </cell>
          <cell r="J347" t="str">
            <v>Closed</v>
          </cell>
          <cell r="K347" t="str">
            <v>[See 342, 382] Performance: Today, it always takes over 45 seconds go to Member Overview screen when clicking back/Home key.</v>
          </cell>
          <cell r="L347" t="str">
            <v>-</v>
          </cell>
          <cell r="M347" t="str">
            <v>Incidents 30Aug99\Miranda\CSP UAT Incidents on Aug. 30 - MC.doc</v>
          </cell>
          <cell r="N347" t="str">
            <v>3 Sep 99: Fixed in v1.5 [Sandeep]. 4 Sep 99: Failed verification in v1.5. It still takes at least 20s [Miranda]. 07 Sept 99: Verified fix in v1.5+ [Miranda].</v>
          </cell>
          <cell r="O347" t="str">
            <v>P1</v>
          </cell>
          <cell r="P347">
            <v>1.5</v>
          </cell>
        </row>
        <row r="348">
          <cell r="A348">
            <v>347</v>
          </cell>
          <cell r="B348">
            <v>36402</v>
          </cell>
          <cell r="C348" t="str">
            <v>Miranda</v>
          </cell>
          <cell r="D348" t="str">
            <v>U</v>
          </cell>
          <cell r="E348" t="str">
            <v>DR</v>
          </cell>
          <cell r="F348" t="str">
            <v>AW</v>
          </cell>
          <cell r="G348" t="str">
            <v>Inq</v>
          </cell>
          <cell r="H348" t="str">
            <v>M</v>
          </cell>
          <cell r="I348" t="str">
            <v>H</v>
          </cell>
          <cell r="J348" t="str">
            <v>Closed</v>
          </cell>
          <cell r="K348" t="str">
            <v>The cost rate of the floating rate rates is not the same figure shown in SBOS.</v>
          </cell>
          <cell r="L348" t="str">
            <v>-</v>
          </cell>
          <cell r="M348" t="str">
            <v>Incidents 30Aug99\Miranda\CSP UAT Incidents on Aug. 30 - MC.doc</v>
          </cell>
          <cell r="N348" t="str">
            <v>1 Sep 99: Fixed, Miranda to re-test [Aegidia]. 4 Sep 99: Fix verified in v1.5 [Miranda].</v>
          </cell>
          <cell r="O348" t="str">
            <v>P1</v>
          </cell>
          <cell r="P348">
            <v>1.4</v>
          </cell>
        </row>
        <row r="349">
          <cell r="A349">
            <v>348</v>
          </cell>
          <cell r="B349">
            <v>36402</v>
          </cell>
          <cell r="C349" t="str">
            <v>Miranda</v>
          </cell>
          <cell r="D349" t="str">
            <v>U</v>
          </cell>
          <cell r="E349" t="str">
            <v>DI</v>
          </cell>
          <cell r="F349" t="str">
            <v>PA</v>
          </cell>
          <cell r="G349" t="str">
            <v>Inq</v>
          </cell>
          <cell r="H349" t="str">
            <v>M</v>
          </cell>
          <cell r="I349" t="str">
            <v>H</v>
          </cell>
          <cell r="J349" t="str">
            <v>Auth</v>
          </cell>
          <cell r="K349" t="str">
            <v>The three options (as shown in SBOS) are not shown in CSP.</v>
          </cell>
          <cell r="L349" t="str">
            <v>-</v>
          </cell>
          <cell r="M349" t="str">
            <v>Incidents 30Aug99\Miranda\CSP UAT Incidents on Aug. 30 - MC.doc</v>
          </cell>
          <cell r="N349" t="str">
            <v>3 Sep 99: More information is requested from Sam and Co [Sandeep]. 9 Sep 99: Sam to discuss this with Miranda [Sandeep].  13 Sept 99: Relates to missing information reported in CSP. However, we are not sure if this is a CT or DR, perhaps Aegidia could ver</v>
          </cell>
          <cell r="O349" t="str">
            <v>P1</v>
          </cell>
        </row>
        <row r="350">
          <cell r="A350">
            <v>349</v>
          </cell>
          <cell r="B350">
            <v>36402</v>
          </cell>
          <cell r="C350" t="str">
            <v>Miranda</v>
          </cell>
          <cell r="D350" t="str">
            <v>U</v>
          </cell>
          <cell r="E350" t="str">
            <v>CT</v>
          </cell>
          <cell r="F350" t="str">
            <v>SC</v>
          </cell>
          <cell r="G350" t="str">
            <v>Inq</v>
          </cell>
          <cell r="H350" t="str">
            <v>M</v>
          </cell>
          <cell r="I350" t="str">
            <v>H</v>
          </cell>
          <cell r="J350" t="str">
            <v>Closed</v>
          </cell>
          <cell r="K350" t="str">
            <v>The server is unavailable when accessing into details of assets.</v>
          </cell>
          <cell r="L350" t="str">
            <v>-</v>
          </cell>
          <cell r="M350" t="str">
            <v>Incidents 30Aug99\Miranda\CSP UAT Incidents on Aug. 30 - MC.doc</v>
          </cell>
          <cell r="N350" t="str">
            <v>1 Sep 99: The server was temporarily taken down [Sandeep]. 4 Sep 99: Verified fix in v1.5 [Miranda].</v>
          </cell>
          <cell r="O350" t="str">
            <v>P1</v>
          </cell>
          <cell r="P350">
            <v>1.4</v>
          </cell>
        </row>
        <row r="351">
          <cell r="A351">
            <v>350</v>
          </cell>
          <cell r="B351">
            <v>36403</v>
          </cell>
          <cell r="C351" t="str">
            <v>Helen</v>
          </cell>
          <cell r="D351" t="str">
            <v>U</v>
          </cell>
          <cell r="E351" t="str">
            <v>DI</v>
          </cell>
          <cell r="F351" t="str">
            <v>PA</v>
          </cell>
          <cell r="G351" t="str">
            <v>Inq</v>
          </cell>
          <cell r="H351" t="str">
            <v>M</v>
          </cell>
          <cell r="I351" t="str">
            <v>H</v>
          </cell>
          <cell r="J351" t="str">
            <v>Closed</v>
          </cell>
          <cell r="K351" t="str">
            <v xml:space="preserve">As of 31 Aug CIU users have not tested any function in CSP UAT as they have been unable to logon to CSP UAT due to not having access privileges on their GEID. 
</v>
          </cell>
          <cell r="L351" t="str">
            <v>-</v>
          </cell>
          <cell r="M351" t="str">
            <v>-</v>
          </cell>
          <cell r="N351" t="str">
            <v>31 Aug 99: Feeds have not been created; problem with UAT environment in NY (Sam); Peter Lee tried to create feeds in Singapore but failed on step 2 [Jacob]. 02 Sept 99: Test was unsuccessful today, got the following message: "NO RELATIONSHIP MAINTAINED FO</v>
          </cell>
          <cell r="O351" t="str">
            <v>P1</v>
          </cell>
        </row>
        <row r="352">
          <cell r="A352">
            <v>351</v>
          </cell>
          <cell r="B352">
            <v>36403</v>
          </cell>
          <cell r="C352" t="str">
            <v xml:space="preserve">Mike </v>
          </cell>
          <cell r="D352" t="str">
            <v>U</v>
          </cell>
          <cell r="E352" t="str">
            <v>CT</v>
          </cell>
          <cell r="F352" t="str">
            <v>SC</v>
          </cell>
          <cell r="G352" t="str">
            <v>Inq</v>
          </cell>
          <cell r="H352" t="str">
            <v>X</v>
          </cell>
          <cell r="I352" t="str">
            <v>X</v>
          </cell>
          <cell r="J352" t="str">
            <v>Closed</v>
          </cell>
          <cell r="K352" t="str">
            <v>Do NOT show decimal places for Japanese currency (Yen).</v>
          </cell>
          <cell r="L352" t="str">
            <v>-</v>
          </cell>
          <cell r="N352" t="str">
            <v>31 Aug 99: This incident was noted early on but was never officially added to the Incident Report [Jacob]. 31 Aug 99: SHOW STOPPER [Mike]. 3 Sep 99: Fixed in v1.5 [Sandeep]. 06 Sept 99: Fix verified [Keith]</v>
          </cell>
          <cell r="O352" t="str">
            <v>P1</v>
          </cell>
          <cell r="P352">
            <v>1.5</v>
          </cell>
        </row>
        <row r="353">
          <cell r="A353">
            <v>352</v>
          </cell>
          <cell r="B353">
            <v>36403</v>
          </cell>
          <cell r="C353" t="str">
            <v>Keith</v>
          </cell>
          <cell r="D353" t="str">
            <v>U</v>
          </cell>
          <cell r="E353" t="str">
            <v>CT</v>
          </cell>
          <cell r="F353" t="str">
            <v>SC</v>
          </cell>
          <cell r="G353" t="str">
            <v>Inq</v>
          </cell>
          <cell r="H353" t="str">
            <v>M</v>
          </cell>
          <cell r="I353" t="str">
            <v>H</v>
          </cell>
          <cell r="J353" t="str">
            <v>Closed</v>
          </cell>
          <cell r="K353" t="str">
            <v>EG Setup correctly shows only one GEG for Midori K.K., but a standard query for member “Ichiro Suzuki” still turns up three Midori K.K. entitlement groups. Three identically-structured GEG's appear under the identical name "Midori K.K." as part of the Ich</v>
          </cell>
          <cell r="L353" t="str">
            <v>-</v>
          </cell>
          <cell r="M353" t="str">
            <v>..\SCREEN SHOTS\Incidents 31 Aug\Keith\aug31.doc</v>
          </cell>
          <cell r="N353" t="str">
            <v>02 Sept 99: Verified fix [Keith].</v>
          </cell>
          <cell r="O353" t="str">
            <v>P1</v>
          </cell>
          <cell r="P353">
            <v>1.4</v>
          </cell>
        </row>
        <row r="354">
          <cell r="A354">
            <v>353</v>
          </cell>
          <cell r="B354">
            <v>36403</v>
          </cell>
          <cell r="C354" t="str">
            <v>Andrew</v>
          </cell>
          <cell r="D354" t="str">
            <v>U</v>
          </cell>
          <cell r="E354" t="str">
            <v>UT</v>
          </cell>
          <cell r="F354" t="str">
            <v>PA</v>
          </cell>
          <cell r="G354" t="str">
            <v>Inq</v>
          </cell>
          <cell r="H354" t="str">
            <v>L</v>
          </cell>
          <cell r="I354" t="str">
            <v>M</v>
          </cell>
          <cell r="J354" t="str">
            <v>Dup</v>
          </cell>
          <cell r="K354" t="str">
            <v>[See 163, 173] Mouse Over: The name of the Core Member from CW is truncated. The name in CW is “Simplistic Technologies”, but in CSP it is showing as “Simplistic Technolo”. However, in the EG Setup Approval Batch Overview screen, the full name is displaye</v>
          </cell>
          <cell r="L354" t="str">
            <v>-</v>
          </cell>
          <cell r="M354" t="str">
            <v>..\SCREEN SHOTS\Incidents 31 Aug\Andrew\Aug 31 (am).doc</v>
          </cell>
          <cell r="O354" t="str">
            <v>P1</v>
          </cell>
          <cell r="P354">
            <v>1.4</v>
          </cell>
        </row>
        <row r="355">
          <cell r="A355">
            <v>354</v>
          </cell>
          <cell r="B355">
            <v>36403</v>
          </cell>
          <cell r="C355" t="str">
            <v>Andrew</v>
          </cell>
          <cell r="D355" t="str">
            <v>U</v>
          </cell>
          <cell r="E355" t="str">
            <v>DR</v>
          </cell>
          <cell r="F355" t="str">
            <v>AW</v>
          </cell>
          <cell r="G355" t="str">
            <v>Inq</v>
          </cell>
          <cell r="H355" t="str">
            <v>L</v>
          </cell>
          <cell r="I355" t="str">
            <v>H</v>
          </cell>
          <cell r="J355" t="str">
            <v>Closed</v>
          </cell>
          <cell r="K355" t="str">
            <v>The “Service Tier” for the Relationship in CSP is not populated from CW, the field called “Market Segment (Local)” is where the service tier was updated . This is the field to be used in CW production release 1 in May 99. However, NOW in CW production the</v>
          </cell>
          <cell r="L355" t="str">
            <v>-</v>
          </cell>
          <cell r="M355" t="str">
            <v>..\SCREEN SHOTS\Incidents 31 Aug\Andrew\Aug 31 (am).doc</v>
          </cell>
          <cell r="N355" t="str">
            <v>1 Sep 99: Need the final CW feed [Sandeep]. 04 Sept 99: Inputs are still not updated into CSP [Andrew]. 9 Sep 99: Fixed in v1.5+ in PAT. Market Segment field was updated, not Service Tier fields [Sandeep]. 10 Sep 99: Verified fix in v1.5+ in PAT [Andrew].</v>
          </cell>
          <cell r="O355" t="str">
            <v>P1</v>
          </cell>
          <cell r="P355">
            <v>1.5</v>
          </cell>
        </row>
        <row r="356">
          <cell r="A356">
            <v>355</v>
          </cell>
          <cell r="B356">
            <v>36403</v>
          </cell>
          <cell r="C356" t="str">
            <v>Andrew</v>
          </cell>
          <cell r="D356" t="str">
            <v>U</v>
          </cell>
          <cell r="E356" t="str">
            <v>DR</v>
          </cell>
          <cell r="F356" t="str">
            <v>AW</v>
          </cell>
          <cell r="G356" t="str">
            <v>Inq</v>
          </cell>
          <cell r="H356" t="str">
            <v>M</v>
          </cell>
          <cell r="I356" t="str">
            <v>H</v>
          </cell>
          <cell r="J356" t="str">
            <v>Closed</v>
          </cell>
          <cell r="K356" t="str">
            <v>The Core Member “TG Computer Pte Ltd” was deleted in CW UAT, but it is still available in CSP for association.</v>
          </cell>
          <cell r="L356" t="str">
            <v>-</v>
          </cell>
          <cell r="M356" t="str">
            <v>..\SCREEN SHOTS\Incidents 31 Aug\Andrew\Aug 31 (am).doc</v>
          </cell>
          <cell r="N356" t="str">
            <v>1 Sep 99: Need the final CW feed [Sandeep]. 04 Sept 99: Inputs are still not updated into CSP [Andrew]. 9 Sep 99: Fixed in v1.5+ in PAT [Sandeep]. 10 Sep 99: Verified fix in v1.5+ in PAT [Andrew].</v>
          </cell>
          <cell r="O356" t="str">
            <v>P1</v>
          </cell>
          <cell r="P356">
            <v>1.5</v>
          </cell>
        </row>
        <row r="357">
          <cell r="A357">
            <v>356</v>
          </cell>
          <cell r="B357">
            <v>36403</v>
          </cell>
          <cell r="C357" t="str">
            <v>Andrew</v>
          </cell>
          <cell r="D357" t="str">
            <v>U</v>
          </cell>
          <cell r="E357" t="str">
            <v>DI</v>
          </cell>
          <cell r="F357" t="str">
            <v>PA</v>
          </cell>
          <cell r="G357" t="str">
            <v>Inq</v>
          </cell>
          <cell r="H357" t="str">
            <v>M</v>
          </cell>
          <cell r="I357" t="str">
            <v>H</v>
          </cell>
          <cell r="J357" t="str">
            <v>Auth</v>
          </cell>
          <cell r="K357" t="str">
            <v>The Gender of the Relationship Member was updated in CW UAT but is not populated into CSP.</v>
          </cell>
          <cell r="L357" t="str">
            <v>-</v>
          </cell>
          <cell r="N357" t="str">
            <v xml:space="preserve">1 Sep 99: Need the final CW feed [Sandeep]. 04 Sept 99: Inputs are still not updated into CSP [Andrew]. 9 Sep 99: Changed from DR to DI as changes have not taken place in CW and therefore the info does not exist in the base database. Andrew is to revisit </v>
          </cell>
          <cell r="O357" t="str">
            <v>P1</v>
          </cell>
        </row>
        <row r="358">
          <cell r="A358">
            <v>357</v>
          </cell>
          <cell r="B358">
            <v>36403</v>
          </cell>
          <cell r="C358" t="str">
            <v>Andrew</v>
          </cell>
          <cell r="D358" t="str">
            <v>U</v>
          </cell>
          <cell r="E358" t="str">
            <v>DI</v>
          </cell>
          <cell r="F358" t="str">
            <v>PA</v>
          </cell>
          <cell r="G358" t="str">
            <v>Inq</v>
          </cell>
          <cell r="H358" t="str">
            <v>M</v>
          </cell>
          <cell r="I358" t="str">
            <v>H</v>
          </cell>
          <cell r="J358" t="str">
            <v>Auth</v>
          </cell>
          <cell r="K358" t="str">
            <v>The Citizenship in CW was updated to be “Australian”, however in CSP the nationality is “Singapore”. Question 1: Is Nationality in CSP the same as Citizenship in CW? Question 2: If not, in which screen can we find Citizenship in CSP?</v>
          </cell>
          <cell r="L358" t="str">
            <v>-</v>
          </cell>
          <cell r="N358" t="str">
            <v xml:space="preserve">1 Sep 99: Need the final CW feed [Sandeep]. 04 Sept 99: Inputs are still not updated into CSP [Andrew]. 9 Sep 99: Changed from DR to DI as changes have not taken place in CW and therefore the info does not exist in the base database. Andrew is to revisit </v>
          </cell>
          <cell r="O358" t="str">
            <v>P1</v>
          </cell>
        </row>
        <row r="359">
          <cell r="A359">
            <v>358</v>
          </cell>
          <cell r="B359">
            <v>36403</v>
          </cell>
          <cell r="C359" t="str">
            <v>Andrew</v>
          </cell>
          <cell r="D359" t="str">
            <v>U</v>
          </cell>
          <cell r="E359" t="str">
            <v>CT</v>
          </cell>
          <cell r="F359" t="str">
            <v>SC</v>
          </cell>
          <cell r="G359" t="str">
            <v>EG</v>
          </cell>
          <cell r="H359" t="str">
            <v>L</v>
          </cell>
          <cell r="I359" t="str">
            <v>H</v>
          </cell>
          <cell r="J359" t="str">
            <v>Closed</v>
          </cell>
          <cell r="K359" t="str">
            <v>[See 381] At the EG setup screen, when clicking on the “Home” button at the bottom of the screen, there is no response. Then when clicking on “FX Rates” on the top tool bar and then clicking on the “Home” button, it worked.</v>
          </cell>
          <cell r="L359" t="str">
            <v>-</v>
          </cell>
          <cell r="M359" t="str">
            <v>..\SCREEN SHOTS\Incidents 31 Aug\Andrew\Aug 31 (am).doc</v>
          </cell>
          <cell r="N359" t="str">
            <v>3 Sep 99: Fixed in v1.5 [Sandeep]. 4 Sep 99: Verified fix in v1.5 [Andrew].</v>
          </cell>
          <cell r="O359" t="str">
            <v>P1</v>
          </cell>
          <cell r="P359">
            <v>1.5</v>
          </cell>
        </row>
        <row r="360">
          <cell r="A360">
            <v>359</v>
          </cell>
          <cell r="B360">
            <v>36403</v>
          </cell>
          <cell r="C360" t="str">
            <v>Andrew</v>
          </cell>
          <cell r="D360" t="str">
            <v>U</v>
          </cell>
          <cell r="E360" t="str">
            <v>DI</v>
          </cell>
          <cell r="F360" t="str">
            <v>PA</v>
          </cell>
          <cell r="G360" t="str">
            <v>Inq</v>
          </cell>
          <cell r="H360" t="str">
            <v>M</v>
          </cell>
          <cell r="I360" t="str">
            <v>H</v>
          </cell>
          <cell r="J360" t="str">
            <v>Auth</v>
          </cell>
          <cell r="K360" t="str">
            <v>Birth Date is updated into CW UAT, but under CSP – EPID at the bottom tool bar, there is no available information.</v>
          </cell>
          <cell r="L360" t="str">
            <v>-</v>
          </cell>
          <cell r="M360" t="str">
            <v>..\SCREEN SHOTS\Incidents 31 Aug\Andrew\Aug 31 (am).doc</v>
          </cell>
          <cell r="N360" t="str">
            <v xml:space="preserve">1 Sep 99: Need the final CW feed [Sandeep]. 04 Sept 99: Inputs are still not updated into CSP [Andrew]. 9 Sep 99: Changed from DR to DI as changes have not taken place in CW and therefore the info does not exist in the base database. Andrew is to revisit </v>
          </cell>
          <cell r="O360" t="str">
            <v>P1</v>
          </cell>
        </row>
        <row r="361">
          <cell r="A361">
            <v>360</v>
          </cell>
          <cell r="B361">
            <v>36403</v>
          </cell>
          <cell r="C361" t="str">
            <v>Andrew</v>
          </cell>
          <cell r="D361" t="str">
            <v>U</v>
          </cell>
          <cell r="E361" t="str">
            <v>DR</v>
          </cell>
          <cell r="F361" t="str">
            <v>AW</v>
          </cell>
          <cell r="G361" t="str">
            <v>Inq</v>
          </cell>
          <cell r="H361" t="str">
            <v>M</v>
          </cell>
          <cell r="I361" t="str">
            <v>H</v>
          </cell>
          <cell r="J361" t="str">
            <v>Closed</v>
          </cell>
          <cell r="K361" t="str">
            <v>Member “Chang Hen Wen” was created in CW UAT to be the Relationship Member for 2 relationships “Chang Benety” and “Chang Chia Sen”. However, in CSP cannot find the “Chang Chia Sen” relationship.</v>
          </cell>
          <cell r="L361" t="str">
            <v>-</v>
          </cell>
          <cell r="M361" t="str">
            <v>..\SCREEN SHOTS\Incidents 31 Aug\Andrew\Aug 31 (am).doc</v>
          </cell>
          <cell r="N361" t="str">
            <v>1 Sep 99: Need the final CW feed [Sandeep]. 04 Sept 99: Inputs are still not updated into CSP [Andrew]. 9 Sep 99: Fixed with latest PAT feed [Sandeep]. 10 Sep 99: Verified fix in v1.5+ in PAT [Andrew].</v>
          </cell>
          <cell r="O361" t="str">
            <v>P1</v>
          </cell>
          <cell r="P361">
            <v>1.5</v>
          </cell>
        </row>
        <row r="362">
          <cell r="A362">
            <v>361</v>
          </cell>
          <cell r="B362">
            <v>36403</v>
          </cell>
          <cell r="C362" t="str">
            <v>Andrew</v>
          </cell>
          <cell r="D362" t="str">
            <v>U</v>
          </cell>
          <cell r="E362" t="str">
            <v>UT</v>
          </cell>
          <cell r="F362" t="str">
            <v>PA</v>
          </cell>
          <cell r="G362" t="str">
            <v>Inq</v>
          </cell>
          <cell r="H362" t="str">
            <v>L</v>
          </cell>
          <cell r="I362" t="str">
            <v>H</v>
          </cell>
          <cell r="J362" t="str">
            <v>Closed</v>
          </cell>
          <cell r="K362" t="str">
            <v>Member “Dylan Chay” was created in CW UAT, with the relationship to Relationship Head being “Child”. This is correctly displayed in the 2nd screen, but in the first screen, in the picklist, the suffix for Dylan Chay should not be “Child”, it should be “Co</v>
          </cell>
          <cell r="L362" t="str">
            <v>-</v>
          </cell>
          <cell r="M362" t="str">
            <v>..\SCREEN SHOTS\Incidents 31 Aug\Andrew\Aug 31 (am).doc</v>
          </cell>
          <cell r="N362" t="str">
            <v>1 Sep 99: Need the final CW feed [Sandeep]. 04 Sept 99: Inputs are still not updated into CSP [Andrew]. 9 Sep 99: Changed from CT to UT. Sandeep to clarify this with Andrew [Sandeep]. 10 Sep 99: Verified fix in v1.5+ in PAT [Andrew].</v>
          </cell>
          <cell r="O362" t="str">
            <v>P1</v>
          </cell>
          <cell r="P362">
            <v>1.5</v>
          </cell>
        </row>
        <row r="363">
          <cell r="A363">
            <v>362</v>
          </cell>
          <cell r="B363">
            <v>36403</v>
          </cell>
          <cell r="C363" t="str">
            <v>Andrew</v>
          </cell>
          <cell r="D363" t="str">
            <v>U</v>
          </cell>
          <cell r="E363" t="str">
            <v>UT</v>
          </cell>
          <cell r="F363" t="str">
            <v>PA</v>
          </cell>
          <cell r="G363" t="str">
            <v>Cor</v>
          </cell>
          <cell r="I363" t="str">
            <v>H</v>
          </cell>
          <cell r="J363" t="str">
            <v>Closed</v>
          </cell>
          <cell r="K363" t="str">
            <v>From the CSP “Home” screen, clicked on “SBOS - Hong Kong” but was corridored to SBOS – Singapore.</v>
          </cell>
          <cell r="L363" t="str">
            <v>-</v>
          </cell>
          <cell r="M363" t="str">
            <v>..\SCREEN SHOTS\Incidents 31 Aug\Andrew\Aug 31 (pm).doc</v>
          </cell>
          <cell r="N363" t="str">
            <v>1 Sep 99: Sandeep to talk to Andrew [Sandeep]. 3 Sep 99: Fixed in v1.5 [Sandeep]. 4 Sep 99: Verified fix in v1.5 [Andrew].</v>
          </cell>
          <cell r="O363" t="str">
            <v>P1</v>
          </cell>
          <cell r="P363">
            <v>1.5</v>
          </cell>
        </row>
        <row r="364">
          <cell r="A364">
            <v>363</v>
          </cell>
          <cell r="B364">
            <v>36403</v>
          </cell>
          <cell r="C364" t="str">
            <v>Andrew</v>
          </cell>
          <cell r="D364" t="str">
            <v>U</v>
          </cell>
          <cell r="E364" t="str">
            <v>DR</v>
          </cell>
          <cell r="F364" t="str">
            <v>AW</v>
          </cell>
          <cell r="G364" t="str">
            <v>Inq</v>
          </cell>
          <cell r="H364" t="str">
            <v>M</v>
          </cell>
          <cell r="I364" t="str">
            <v>H</v>
          </cell>
          <cell r="J364" t="str">
            <v>Closed</v>
          </cell>
          <cell r="K364" t="str">
            <v>The summation of the 3 corporate bonds’ principal amount, 892,810.00 + 2,144,060.00 + 1,878,120.00 = 4,914,990.00. This is different from the portfolio overview screen where it shows 4,984,903.53.</v>
          </cell>
          <cell r="L364" t="str">
            <v>-</v>
          </cell>
          <cell r="M364" t="str">
            <v>..\SCREEN SHOTS\Incidents 31 Aug\Andrew\Aug 31 (pm).doc</v>
          </cell>
          <cell r="N364" t="str">
            <v>06 Sept 99: Fixed and ready for re-test [Aegidia]. 07 Sept 99: Verified fix in v1.5+ [Andrew].</v>
          </cell>
          <cell r="O364" t="str">
            <v>P1</v>
          </cell>
          <cell r="P364">
            <v>1.5</v>
          </cell>
        </row>
        <row r="365">
          <cell r="A365">
            <v>364</v>
          </cell>
          <cell r="B365">
            <v>36403</v>
          </cell>
          <cell r="C365" t="str">
            <v>Keith</v>
          </cell>
          <cell r="D365" t="str">
            <v>U</v>
          </cell>
          <cell r="E365" t="str">
            <v>CT</v>
          </cell>
          <cell r="F365" t="str">
            <v>SC</v>
          </cell>
          <cell r="G365" t="str">
            <v>Rep</v>
          </cell>
          <cell r="H365" t="str">
            <v>M</v>
          </cell>
          <cell r="I365" t="str">
            <v>H</v>
          </cell>
          <cell r="J365" t="str">
            <v>Closed</v>
          </cell>
          <cell r="K365" t="str">
            <v>This generated report (#225) searched EG Setup “rejects” for August 31. The “Entitlement” group column incorrectly shows this was done for the 6-person GEG shown below. This is impossible, since Shinnosuke Suzuki, as the owner, cannot be available as a PO</v>
          </cell>
          <cell r="L365" t="str">
            <v>-</v>
          </cell>
          <cell r="M365" t="str">
            <v>..\SCREEN SHOTS\Incidents 31 Aug\Keith\aug31.2.doc</v>
          </cell>
          <cell r="N365" t="str">
            <v>3 Sep 99: Fixed in v1.5 [Sandeep]. 07 Sept 99: Verified fix in v1.5. [Keith / Iida].</v>
          </cell>
          <cell r="O365" t="str">
            <v>P1</v>
          </cell>
          <cell r="P365">
            <v>1.5</v>
          </cell>
        </row>
        <row r="366">
          <cell r="A366">
            <v>365</v>
          </cell>
          <cell r="B366">
            <v>36403</v>
          </cell>
          <cell r="C366" t="str">
            <v>Andrew</v>
          </cell>
          <cell r="D366" t="str">
            <v>U</v>
          </cell>
          <cell r="E366" t="str">
            <v>CT</v>
          </cell>
          <cell r="F366" t="str">
            <v>SC</v>
          </cell>
          <cell r="G366" t="str">
            <v>SCL</v>
          </cell>
          <cell r="I366" t="str">
            <v>X</v>
          </cell>
          <cell r="J366" t="str">
            <v>Closed</v>
          </cell>
          <cell r="K366" t="str">
            <v>Action Item: Under action item’s home screen, after I clicked on “My Team’s Relationship”, there are multiple pages of Relationships searched.
1: In the 1st page of the search, if I clicked on any of the relationships, I would be successfully brought to t</v>
          </cell>
          <cell r="L366" t="str">
            <v>-</v>
          </cell>
          <cell r="N366" t="str">
            <v>02 Sept 99: Verified fix in v1.4+ by Andrew. 4 Sep 99: Changed from Closed to Re-Open as the incident was observed again in v1.5 [Andrew]. 06 Sept 99: Verified as fixed by Andrew in v1.5+.</v>
          </cell>
          <cell r="O366" t="str">
            <v>P1</v>
          </cell>
          <cell r="P366">
            <v>1.4</v>
          </cell>
        </row>
        <row r="367">
          <cell r="A367">
            <v>366</v>
          </cell>
          <cell r="B367">
            <v>36403</v>
          </cell>
          <cell r="C367" t="str">
            <v>Andrew</v>
          </cell>
          <cell r="D367" t="str">
            <v>U</v>
          </cell>
          <cell r="E367" t="str">
            <v>CT</v>
          </cell>
          <cell r="F367" t="str">
            <v>SC</v>
          </cell>
          <cell r="G367" t="str">
            <v>SCL</v>
          </cell>
          <cell r="H367" t="str">
            <v>L</v>
          </cell>
          <cell r="I367" t="str">
            <v>M</v>
          </cell>
          <cell r="J367" t="str">
            <v>Closed</v>
          </cell>
          <cell r="K367" t="str">
            <v>When I did a “Save &amp; Copy”, the 1st screen shows the copied draft copy. However, I would like to change the Type and Sub-Type (from Order and Funds Transfer to Other and Funds Transfer). There was an error message to warn the user that “Sub Types not Main</v>
          </cell>
          <cell r="L367" t="str">
            <v>-</v>
          </cell>
          <cell r="M367" t="str">
            <v>Incidents 31Aug99\Andrew\Aug 31 (pm2).doc</v>
          </cell>
          <cell r="N367" t="str">
            <v>3 Sep 99: Fixed in v1.5 [Sandeep]. 4 Sep 99: Verified fix in v1.5 [Andrew].</v>
          </cell>
          <cell r="O367" t="str">
            <v>P1</v>
          </cell>
          <cell r="P367">
            <v>1.5</v>
          </cell>
        </row>
        <row r="368">
          <cell r="A368">
            <v>367</v>
          </cell>
          <cell r="B368">
            <v>36403</v>
          </cell>
          <cell r="C368" t="str">
            <v>Andrew</v>
          </cell>
          <cell r="D368" t="str">
            <v>U</v>
          </cell>
          <cell r="E368" t="str">
            <v>UT</v>
          </cell>
          <cell r="F368" t="str">
            <v>PA</v>
          </cell>
          <cell r="G368" t="str">
            <v>SCL</v>
          </cell>
          <cell r="I368" t="str">
            <v>L</v>
          </cell>
          <cell r="J368" t="str">
            <v>Closed</v>
          </cell>
          <cell r="K368" t="str">
            <v>Under Action Item for Type: Order and Other, there is no “Resolve” button for users to change the status to “Close”. This is necessary as the RSOs want to diarise their clients’ order and they may assign the orders to themselves. When the orders are final</v>
          </cell>
          <cell r="L368" t="str">
            <v>-</v>
          </cell>
          <cell r="M368" t="str">
            <v>Incidents 31Aug99\Andrew\Aug 31 (pm2).doc</v>
          </cell>
          <cell r="N368" t="str">
            <v>1 Sep 99: Changed priority from X to L. Sandeep to speak to Andrew [Sandeep]. 7 Sep 99: Fixed verified in v1.5+ [Andrew].</v>
          </cell>
          <cell r="O368" t="str">
            <v>P2</v>
          </cell>
          <cell r="P368">
            <v>1.5</v>
          </cell>
        </row>
        <row r="369">
          <cell r="A369">
            <v>368</v>
          </cell>
          <cell r="B369">
            <v>36403</v>
          </cell>
          <cell r="C369" t="str">
            <v>Andrew</v>
          </cell>
          <cell r="D369" t="str">
            <v>U</v>
          </cell>
          <cell r="E369" t="str">
            <v>UT</v>
          </cell>
          <cell r="F369" t="str">
            <v>PA</v>
          </cell>
          <cell r="G369" t="str">
            <v>SCL</v>
          </cell>
          <cell r="H369" t="str">
            <v>L</v>
          </cell>
          <cell r="I369" t="str">
            <v>L</v>
          </cell>
          <cell r="J369" t="str">
            <v>Closed</v>
          </cell>
          <cell r="K369" t="str">
            <v>The user (RSO or the back up RSO) that makes an action item that is assigned to RST-SIN and same party should be allowed to revise the target date. Eg, if Alex Lai assigns an Order to RST-SIN and Alex Lai, he and his team of back up RSOs should be able to</v>
          </cell>
          <cell r="L369" t="str">
            <v>-</v>
          </cell>
          <cell r="M369" t="str">
            <v>Incidents 31Aug99\Andrew\Aug 31 (pm2).doc</v>
          </cell>
          <cell r="N369" t="str">
            <v>1 Sep 99: Changed priority from H to L. Sandeep to speak to Andrew [Sandeep]. 7 Sep 99: Fixed verified in v1.5+ [Andrew].</v>
          </cell>
          <cell r="O369" t="str">
            <v>P2</v>
          </cell>
          <cell r="P369">
            <v>1.5</v>
          </cell>
        </row>
        <row r="370">
          <cell r="A370">
            <v>369</v>
          </cell>
          <cell r="B370">
            <v>36403</v>
          </cell>
          <cell r="C370" t="str">
            <v>Helen</v>
          </cell>
          <cell r="D370" t="str">
            <v>U</v>
          </cell>
          <cell r="E370" t="str">
            <v>UT</v>
          </cell>
          <cell r="F370" t="str">
            <v>PA</v>
          </cell>
          <cell r="G370" t="str">
            <v>Cor</v>
          </cell>
          <cell r="H370" t="str">
            <v>L</v>
          </cell>
          <cell r="I370" t="str">
            <v>H</v>
          </cell>
          <cell r="J370" t="str">
            <v>Auth</v>
          </cell>
          <cell r="K370" t="str">
            <v>The first time a CSP user invokes the display of a document image, s/he will be requested to re-enter the citisafe logon password (the user ID i.e. GEID is defaulted from the one defined in CSP Utilities). However after the user inputs the password, the c</v>
          </cell>
          <cell r="L370" t="str">
            <v>-</v>
          </cell>
          <cell r="M370" t="str">
            <v>Incidents 31Aug99\Helen\31Aug99-cycle4.doc</v>
          </cell>
          <cell r="N370" t="str">
            <v>1 Sep 99: DTS2 functionality related [Sandeep].</v>
          </cell>
        </row>
        <row r="371">
          <cell r="A371">
            <v>370</v>
          </cell>
          <cell r="B371">
            <v>36403</v>
          </cell>
          <cell r="C371" t="str">
            <v>Bharat</v>
          </cell>
          <cell r="D371" t="str">
            <v>U</v>
          </cell>
          <cell r="E371" t="str">
            <v>UT</v>
          </cell>
          <cell r="F371" t="str">
            <v>PA</v>
          </cell>
          <cell r="G371" t="str">
            <v>SCL</v>
          </cell>
          <cell r="H371" t="str">
            <v>L</v>
          </cell>
          <cell r="I371" t="str">
            <v>L</v>
          </cell>
          <cell r="J371" t="str">
            <v>Closed</v>
          </cell>
          <cell r="K371" t="str">
            <v>In SCL’s “Draft Item” screen, it is possible to paste anything in all the disabled edit fields via the mouse right-button and selecting “paste” from the context sensitive pop-up menu. Further, when some text is pasted in the “Contact Date” field, the erro</v>
          </cell>
          <cell r="L371" t="str">
            <v>-</v>
          </cell>
          <cell r="M371" t="str">
            <v>-</v>
          </cell>
          <cell r="N371" t="str">
            <v>6 Sep 99: Changed from CT to UT [Sandeep].</v>
          </cell>
          <cell r="O371" t="str">
            <v>P1</v>
          </cell>
        </row>
        <row r="372">
          <cell r="A372">
            <v>371</v>
          </cell>
          <cell r="B372">
            <v>36403</v>
          </cell>
          <cell r="C372" t="str">
            <v>Bharat</v>
          </cell>
          <cell r="D372" t="str">
            <v>U</v>
          </cell>
          <cell r="E372" t="str">
            <v>NR</v>
          </cell>
          <cell r="F372" t="str">
            <v>PA</v>
          </cell>
          <cell r="G372" t="str">
            <v>SCL</v>
          </cell>
          <cell r="I372" t="str">
            <v>M</v>
          </cell>
          <cell r="J372" t="str">
            <v>Auth</v>
          </cell>
          <cell r="K372" t="str">
            <v>No “Are you sure?” confirmation message is given when deleting a “Draft Item” from SCL’s “Draft Items” screen. What if this button was clicked in error?</v>
          </cell>
          <cell r="L372" t="str">
            <v>-</v>
          </cell>
          <cell r="O372" t="str">
            <v>P2</v>
          </cell>
        </row>
        <row r="373">
          <cell r="A373">
            <v>372</v>
          </cell>
          <cell r="B373">
            <v>36404</v>
          </cell>
          <cell r="C373" t="str">
            <v>Iida</v>
          </cell>
          <cell r="D373" t="str">
            <v>U</v>
          </cell>
          <cell r="E373" t="str">
            <v>CT</v>
          </cell>
          <cell r="F373" t="str">
            <v>SC</v>
          </cell>
          <cell r="G373" t="str">
            <v>Inq</v>
          </cell>
          <cell r="I373" t="str">
            <v>M</v>
          </cell>
          <cell r="J373" t="str">
            <v>Auth</v>
          </cell>
          <cell r="K373" t="str">
            <v>The account title is not displayed under the PF Number which is 10351541. It should display "Chikako Takeda".</v>
          </cell>
          <cell r="L373" t="str">
            <v>-</v>
          </cell>
          <cell r="M373" t="str">
            <v>Incidents 1Sep99\Iida\takeda~1.doc</v>
          </cell>
          <cell r="N373" t="str">
            <v>10 Sep 99: Targeted at Phase 2 [Peter].</v>
          </cell>
          <cell r="O373" t="str">
            <v>P2</v>
          </cell>
        </row>
        <row r="374">
          <cell r="A374">
            <v>373</v>
          </cell>
          <cell r="B374">
            <v>36404</v>
          </cell>
          <cell r="C374" t="str">
            <v>Iida</v>
          </cell>
          <cell r="D374" t="str">
            <v>U</v>
          </cell>
          <cell r="E374" t="str">
            <v>DR</v>
          </cell>
          <cell r="F374" t="str">
            <v>AW</v>
          </cell>
          <cell r="G374" t="str">
            <v>Inq</v>
          </cell>
          <cell r="I374" t="str">
            <v>H</v>
          </cell>
          <cell r="J374" t="str">
            <v>Closed</v>
          </cell>
          <cell r="K374" t="str">
            <v>The “Available Balance” is being displayed as “0.00” on the “Current Accounts” screen. It should be displayed as “5,000”. The “Total Available Balance in Nom CCY (USD) is displayed as “0.00”, but shows “5,000” at “Total Available Balance in PF Ref CCY (US</v>
          </cell>
          <cell r="L374" t="str">
            <v>-</v>
          </cell>
          <cell r="M374" t="str">
            <v>Incidents 1Sep99\Iida\takeda~1.doc</v>
          </cell>
          <cell r="N374" t="str">
            <v>06 Sept 99: Fixed and ready for re-test [Aegidia]. 07 Sept 99: Verified fix in v1.5. [Keith / Iida].</v>
          </cell>
          <cell r="O374" t="str">
            <v>P1</v>
          </cell>
          <cell r="P374">
            <v>1.5</v>
          </cell>
        </row>
        <row r="375">
          <cell r="A375">
            <v>374</v>
          </cell>
          <cell r="B375">
            <v>36404</v>
          </cell>
          <cell r="C375" t="str">
            <v>Iida</v>
          </cell>
          <cell r="D375" t="str">
            <v>U</v>
          </cell>
          <cell r="E375" t="str">
            <v>DR</v>
          </cell>
          <cell r="F375" t="str">
            <v>AW</v>
          </cell>
          <cell r="G375" t="str">
            <v>Inq</v>
          </cell>
          <cell r="I375" t="str">
            <v>H</v>
          </cell>
          <cell r="J375" t="str">
            <v>Closed</v>
          </cell>
          <cell r="K375" t="str">
            <v>The “Available Cash Balance” is being displayed as “N/A” on the “Location Overview” screen. It should be displayed as “5,000” for PF Number 10351541 and 1,007.86 for PF Number 39574200.</v>
          </cell>
          <cell r="L375" t="str">
            <v>-</v>
          </cell>
          <cell r="M375" t="str">
            <v>Incidents 1Sep99\Iida\takeda~1.doc</v>
          </cell>
          <cell r="N375" t="str">
            <v>06 Sept 99: Fixed and ready for re-test [Aegidia]. 07 Sept 99: Verified fix in v1.5. [Keith / Iida].</v>
          </cell>
          <cell r="O375" t="str">
            <v>P1</v>
          </cell>
          <cell r="P375">
            <v>1.5</v>
          </cell>
        </row>
        <row r="376">
          <cell r="A376">
            <v>375</v>
          </cell>
          <cell r="B376">
            <v>36404</v>
          </cell>
          <cell r="C376" t="str">
            <v>Miranda</v>
          </cell>
          <cell r="D376" t="str">
            <v>U</v>
          </cell>
          <cell r="E376" t="str">
            <v>CT</v>
          </cell>
          <cell r="F376" t="str">
            <v>SC</v>
          </cell>
          <cell r="G376" t="str">
            <v>Inq</v>
          </cell>
          <cell r="I376" t="str">
            <v>H</v>
          </cell>
          <cell r="J376" t="str">
            <v>Dup</v>
          </cell>
          <cell r="K376" t="str">
            <v>[See 342] Performance: In the “Portfolio Overview” screen, it takes more than one minute to go into the details of the assets (at 7:05 pm) and it gets even worse after 7:45 p.m. Overall, the response time in the afternoon was slow particularly when clicki</v>
          </cell>
          <cell r="L376" t="str">
            <v>-</v>
          </cell>
          <cell r="M376" t="str">
            <v>Incidents 31Aug99\Miranda\CSP UAT Incidents on Aug. 31 - MC.doc</v>
          </cell>
          <cell r="N376" t="str">
            <v>6 Sep 99: Duplicate of 342 [Sandeep]. 07 Sept 99: Verified fix in v1.5+ [Miranda].</v>
          </cell>
          <cell r="O376" t="str">
            <v>P1</v>
          </cell>
          <cell r="P376">
            <v>1.5</v>
          </cell>
        </row>
        <row r="377">
          <cell r="A377">
            <v>376</v>
          </cell>
          <cell r="B377">
            <v>36404</v>
          </cell>
          <cell r="C377" t="str">
            <v>Aegidia</v>
          </cell>
          <cell r="D377" t="str">
            <v>U</v>
          </cell>
          <cell r="E377" t="str">
            <v>CT</v>
          </cell>
          <cell r="F377" t="str">
            <v>SC</v>
          </cell>
          <cell r="G377" t="str">
            <v>Inq</v>
          </cell>
          <cell r="I377" t="str">
            <v>H</v>
          </cell>
          <cell r="J377" t="str">
            <v>Closed</v>
          </cell>
          <cell r="K377" t="str">
            <v>[See 298, 333, 344, 387] Duplicate account found in search. See 387, reported as duplicate by Aegidia.</v>
          </cell>
          <cell r="L377" t="str">
            <v>-</v>
          </cell>
          <cell r="M377" t="str">
            <v>..\SCREEN SHOTS\Incidents 07 Sept\Aegidia\PRF 990907.doc</v>
          </cell>
          <cell r="N377" t="str">
            <v>01 Sept 99: Manish, please investigate [Aegidia]. 3 Sep 99: Fixed in v1.5 [Sandeep]. 07 Sept 99: Input 2/776766/054 (MB Sin) as criteria for account search, result set returned two accounts. Account numbers are unique in SBOS and therefore CSP should only</v>
          </cell>
          <cell r="O377" t="str">
            <v>P1</v>
          </cell>
          <cell r="P377">
            <v>1.5</v>
          </cell>
        </row>
        <row r="378">
          <cell r="A378">
            <v>377</v>
          </cell>
          <cell r="B378">
            <v>36404</v>
          </cell>
          <cell r="C378" t="str">
            <v>Miranda</v>
          </cell>
          <cell r="D378" t="str">
            <v>U</v>
          </cell>
          <cell r="E378" t="str">
            <v>DR</v>
          </cell>
          <cell r="F378" t="str">
            <v>AW</v>
          </cell>
          <cell r="G378" t="str">
            <v>Inq</v>
          </cell>
          <cell r="I378" t="str">
            <v>H</v>
          </cell>
          <cell r="J378" t="str">
            <v>Closed</v>
          </cell>
          <cell r="K378" t="str">
            <v>In Equities level, the MTM should be negative in value when compared with gross amount and market value</v>
          </cell>
          <cell r="L378" t="str">
            <v>-</v>
          </cell>
          <cell r="M378" t="str">
            <v>\\FS666F04\USER1\JROITMAN\INTERIM_JACOB\SCREEN SHOTS\30 Sept 99\Miranda\CSP UAT Retest result as of Sept. 30 - MC.doc</v>
          </cell>
          <cell r="N378" t="str">
            <v>2 Sep 99: ClientWindow feed issue [Aegidia]. 13 Sept 99: CSP reports MTM value in Equities level with the wrong sign, i.e., negative rather than positive and vise versa.[Sam]  23 Sept 99: The figures are inconsistent as some of the negative MTM are correc</v>
          </cell>
          <cell r="O378" t="str">
            <v>P1</v>
          </cell>
        </row>
        <row r="379">
          <cell r="A379">
            <v>378</v>
          </cell>
          <cell r="B379">
            <v>36404</v>
          </cell>
          <cell r="C379" t="str">
            <v>Miranda</v>
          </cell>
          <cell r="D379" t="str">
            <v>U</v>
          </cell>
          <cell r="E379" t="str">
            <v>CT</v>
          </cell>
          <cell r="F379" t="str">
            <v>SC</v>
          </cell>
          <cell r="G379" t="str">
            <v>Inq</v>
          </cell>
          <cell r="I379" t="str">
            <v>H</v>
          </cell>
          <cell r="J379" t="str">
            <v>Closed</v>
          </cell>
          <cell r="K379" t="str">
            <v>For call deposit in WHEM account, the figures of the total available balances in PF Ref Ccy(USD) &amp; Reln Ref Ccy (USD) are not matched with the available balance in Cash Reserve Account.</v>
          </cell>
          <cell r="L379" t="str">
            <v>-</v>
          </cell>
          <cell r="M379" t="str">
            <v>Incidents 1Sep99\Miranda\CSP UAT Incidents on Sept. 1 - MC.doc</v>
          </cell>
          <cell r="N379" t="str">
            <v>3 Sep 99: Fixed in v1.5 [Sandeep]. 4 Sep 99: Verified fix in v1.5 [Miranda].</v>
          </cell>
          <cell r="O379" t="str">
            <v>P1</v>
          </cell>
          <cell r="P379">
            <v>1.5</v>
          </cell>
        </row>
        <row r="380">
          <cell r="A380">
            <v>379</v>
          </cell>
          <cell r="B380">
            <v>36404</v>
          </cell>
          <cell r="C380" t="str">
            <v>Miranda</v>
          </cell>
          <cell r="D380" t="str">
            <v>U</v>
          </cell>
          <cell r="E380" t="str">
            <v>DR</v>
          </cell>
          <cell r="F380" t="str">
            <v>AW</v>
          </cell>
          <cell r="G380" t="str">
            <v>Inq</v>
          </cell>
          <cell r="I380" t="str">
            <v>H</v>
          </cell>
          <cell r="J380" t="str">
            <v>Re-Raised</v>
          </cell>
          <cell r="K380" t="str">
            <v>The “Start date” of the following three deposits in WHEM account definitely should not be the date in 1995.</v>
          </cell>
          <cell r="L380" t="str">
            <v>-</v>
          </cell>
          <cell r="M380" t="str">
            <v>\\FS666F04\USER1\JROITMAN\INTERIM_JACOB\SCREEN SHOTS\23 Sept 99\Miranda\CSP UAT Retest result as of Sept. 23 - MC1.doc</v>
          </cell>
          <cell r="N380" t="str">
            <v>13 Sept 99: The start date of deposits in the WHEM feed is incorrect [Sam].  23 Sept 99: 1995 is still shown as start date.</v>
          </cell>
          <cell r="O380" t="str">
            <v>P1</v>
          </cell>
        </row>
        <row r="381">
          <cell r="A381">
            <v>380</v>
          </cell>
          <cell r="B381">
            <v>36404</v>
          </cell>
          <cell r="C381" t="str">
            <v>Miranda</v>
          </cell>
          <cell r="D381" t="str">
            <v>U</v>
          </cell>
          <cell r="E381" t="str">
            <v>DR</v>
          </cell>
          <cell r="F381" t="str">
            <v>AW</v>
          </cell>
          <cell r="G381" t="str">
            <v>EG</v>
          </cell>
          <cell r="I381" t="str">
            <v>H</v>
          </cell>
          <cell r="J381" t="str">
            <v>Closed</v>
          </cell>
          <cell r="K381" t="str">
            <v>The WHEM Base #96936203 is not available for the linkage even though the account is valid with expense code “00569” which represents AP.</v>
          </cell>
          <cell r="L381" t="str">
            <v>-</v>
          </cell>
          <cell r="M381" t="str">
            <v>Incidents 1Sep99\Miranda\CSP UAT Incidents on Sept. 1 - MC.doc</v>
          </cell>
          <cell r="N381" t="str">
            <v>2 Sep 99: Fixed [Aegidia]. 07 Sept 99: Verified fix in v1.5+ [Miranda].</v>
          </cell>
          <cell r="O381" t="str">
            <v>P1</v>
          </cell>
          <cell r="P381">
            <v>1.4</v>
          </cell>
        </row>
        <row r="382">
          <cell r="A382">
            <v>381</v>
          </cell>
          <cell r="B382">
            <v>36404</v>
          </cell>
          <cell r="C382" t="str">
            <v>Miranda</v>
          </cell>
          <cell r="D382" t="str">
            <v>U</v>
          </cell>
          <cell r="E382" t="str">
            <v>CT</v>
          </cell>
          <cell r="F382" t="str">
            <v>SC</v>
          </cell>
          <cell r="G382" t="str">
            <v>Inq</v>
          </cell>
          <cell r="H382" t="str">
            <v>L</v>
          </cell>
          <cell r="I382" t="str">
            <v>L</v>
          </cell>
          <cell r="J382" t="str">
            <v>Dup</v>
          </cell>
          <cell r="K382" t="str">
            <v>[See 358] The user could not go back to the home page when clicking the “Home” key after the approval at EG setup. The only method is to click any function key at the upper bar and then click the “Home” key again.</v>
          </cell>
          <cell r="L382" t="str">
            <v>-</v>
          </cell>
          <cell r="M382" t="str">
            <v>Incidents 1Sep99\Miranda\CSP UAT Incidents on Sept. 1 - MC.doc</v>
          </cell>
          <cell r="N382" t="str">
            <v>3 Sep 99: Fixed in v1.5 [Sandeep]. 07 Sept 99: Verified fix in v1.5+ [Miranda].</v>
          </cell>
          <cell r="O382" t="str">
            <v>P1</v>
          </cell>
          <cell r="P382">
            <v>1.5</v>
          </cell>
        </row>
        <row r="383">
          <cell r="A383">
            <v>382</v>
          </cell>
          <cell r="B383">
            <v>36404</v>
          </cell>
          <cell r="C383" t="str">
            <v>Miranda</v>
          </cell>
          <cell r="D383" t="str">
            <v>U</v>
          </cell>
          <cell r="E383" t="str">
            <v>CT</v>
          </cell>
          <cell r="F383" t="str">
            <v>SC</v>
          </cell>
          <cell r="G383" t="str">
            <v>Inq</v>
          </cell>
          <cell r="I383" t="str">
            <v>H</v>
          </cell>
          <cell r="J383" t="str">
            <v>Dup</v>
          </cell>
          <cell r="K383" t="str">
            <v>[See 346] Performance: It takes exactly four minutes into the member overview level at home page (at 4pm).</v>
          </cell>
          <cell r="L383" t="str">
            <v>-</v>
          </cell>
          <cell r="M383" t="str">
            <v>Incidents 1Sep99\Miranda\CSP UAT Incidents on Sept. 1 - MC.doc</v>
          </cell>
          <cell r="N383" t="str">
            <v>6 Sep 99: Duplicate of 382 [Sandeep].</v>
          </cell>
          <cell r="O383" t="str">
            <v>P1</v>
          </cell>
          <cell r="P383">
            <v>1.5</v>
          </cell>
        </row>
        <row r="384">
          <cell r="A384">
            <v>383</v>
          </cell>
          <cell r="B384">
            <v>36404</v>
          </cell>
          <cell r="C384" t="str">
            <v>Miranda</v>
          </cell>
          <cell r="D384" t="str">
            <v>U</v>
          </cell>
          <cell r="E384" t="str">
            <v>DR</v>
          </cell>
          <cell r="F384" t="str">
            <v>AW</v>
          </cell>
          <cell r="G384" t="str">
            <v>Inq</v>
          </cell>
          <cell r="I384" t="str">
            <v>H</v>
          </cell>
          <cell r="J384" t="str">
            <v>Closed</v>
          </cell>
          <cell r="K384" t="str">
            <v xml:space="preserve">The figures of the maturity amount (P+I) and Interest at Maturity are not displayed under Margin Loans. It seems strange that there are no problems for other margin loan under the same WHEM entitlement group. Further, the Outstanding amount (P+ Acc I) in </v>
          </cell>
          <cell r="L384" t="str">
            <v>-</v>
          </cell>
          <cell r="M384" t="str">
            <v>\\FS666F04\USER1\JROITMAN\INTERIM_JACOB\SCREEN SHOTS\23 Sept 99\Miranda\CSP UAT Retest result as of Sept. 23 - MC1.doc</v>
          </cell>
          <cell r="N384" t="str">
            <v>02 Sept 99: Manish, loan account 821095851 was not in APWHMCW07H but was shown on the screen. Please investigate [Aegidia]. 3 Sep 99: Fixed in v1.5 [Sandeep]. 4 Sep 99: Failed verification in v1.5 [Miranda].  17 Sept 99: This has been fixed by the ClientW</v>
          </cell>
          <cell r="O384" t="str">
            <v>P1</v>
          </cell>
          <cell r="P384">
            <v>1.5</v>
          </cell>
        </row>
        <row r="385">
          <cell r="A385">
            <v>384</v>
          </cell>
          <cell r="B385">
            <v>36404</v>
          </cell>
          <cell r="C385" t="str">
            <v>Miranda</v>
          </cell>
          <cell r="D385" t="str">
            <v>U</v>
          </cell>
          <cell r="E385" t="str">
            <v>UT</v>
          </cell>
          <cell r="F385" t="str">
            <v>PA</v>
          </cell>
          <cell r="G385" t="str">
            <v>Inq</v>
          </cell>
          <cell r="I385" t="str">
            <v>H</v>
          </cell>
          <cell r="J385" t="str">
            <v>Closed</v>
          </cell>
          <cell r="K385" t="str">
            <v>When searching for the Singapore portfolio number (7705120018, MultiBranch - Singapore) from the home page, the message “No matching data for this search criteria” is displayed. In fact, the portfolio number has been inserted in the system. It does not wo</v>
          </cell>
          <cell r="L385" t="str">
            <v>-</v>
          </cell>
          <cell r="M385" t="str">
            <v>Incidents 1Sep99\Miranda\CSP UAT Incidents on Sept. 1 - MC.doc</v>
          </cell>
          <cell r="N385" t="str">
            <v>4 Sep 99: Closed in 1.5 [Miranda].</v>
          </cell>
          <cell r="O385" t="str">
            <v>P1</v>
          </cell>
          <cell r="P385">
            <v>1.5</v>
          </cell>
        </row>
        <row r="386">
          <cell r="A386">
            <v>385</v>
          </cell>
          <cell r="B386">
            <v>36404</v>
          </cell>
          <cell r="C386" t="str">
            <v>Helen</v>
          </cell>
          <cell r="D386" t="str">
            <v>U</v>
          </cell>
          <cell r="E386" t="str">
            <v>NR</v>
          </cell>
          <cell r="F386" t="str">
            <v>PA</v>
          </cell>
          <cell r="G386" t="str">
            <v>Inq</v>
          </cell>
          <cell r="H386" t="str">
            <v>M</v>
          </cell>
          <cell r="I386" t="str">
            <v>H</v>
          </cell>
          <cell r="J386" t="str">
            <v>Auth</v>
          </cell>
          <cell r="K386" t="str">
            <v>[See 319] We have requested to have a total MTM in USD for all OTC options in the portfolio but the “Total Mark-To-Market in USD” is displayed 4 times without any figures. Also, there is no trade date displayed. Please check if we have trade date in our f</v>
          </cell>
          <cell r="L386" t="str">
            <v>-</v>
          </cell>
          <cell r="M386" t="str">
            <v>..\SCREEN SHOTS\Incidents 27 Aug\Helen\2627Aug99-cycle3.doc</v>
          </cell>
          <cell r="N386" t="str">
            <v>1 Sep 99: Trade Date is not available in SBOS and therefore is not mapped. Would Helen please close the incident [Aegidia]. Changed from DR to NR as this is a new request for both SBOS and CSP [Bharat].</v>
          </cell>
          <cell r="O386" t="str">
            <v>P2</v>
          </cell>
        </row>
        <row r="387">
          <cell r="A387">
            <v>386</v>
          </cell>
          <cell r="B387">
            <v>36405</v>
          </cell>
          <cell r="C387" t="str">
            <v>Andrew</v>
          </cell>
          <cell r="D387" t="str">
            <v>U</v>
          </cell>
          <cell r="E387" t="str">
            <v>DR</v>
          </cell>
          <cell r="F387" t="str">
            <v>AW</v>
          </cell>
          <cell r="G387" t="str">
            <v>Inq</v>
          </cell>
          <cell r="I387" t="str">
            <v>H</v>
          </cell>
          <cell r="J387" t="str">
            <v>Auth</v>
          </cell>
          <cell r="K387" t="str">
            <v>[See 297] These London accounts are not found in CSP, 0/306402/005 Call Account GBP, 0/306402/048 Call Account USD USD.</v>
          </cell>
          <cell r="L387" t="str">
            <v>-</v>
          </cell>
          <cell r="M387" t="str">
            <v>Incidents 2Sep99\Andrew\Sep 01.doc</v>
          </cell>
          <cell r="N387" t="str">
            <v xml:space="preserve">03 Sept 99: 0/306402/005 and 0/306402/048 are 'orphan' accounts from London. They were present in the feed file but weren't shown on the front-end. Manish, please investigate. This is a recurrence of 297 [Aegidia]. 04 Sept 99: Like WHM, do not link dummy </v>
          </cell>
          <cell r="O387" t="str">
            <v>P1</v>
          </cell>
        </row>
        <row r="388">
          <cell r="A388">
            <v>387</v>
          </cell>
          <cell r="B388">
            <v>36405</v>
          </cell>
          <cell r="C388" t="str">
            <v>Helen</v>
          </cell>
          <cell r="D388" t="str">
            <v>U</v>
          </cell>
          <cell r="E388" t="str">
            <v>CT</v>
          </cell>
          <cell r="F388" t="str">
            <v>SC</v>
          </cell>
          <cell r="G388" t="str">
            <v>Inq</v>
          </cell>
          <cell r="I388" t="str">
            <v>H</v>
          </cell>
          <cell r="J388" t="str">
            <v>Dup</v>
          </cell>
          <cell r="K388" t="str">
            <v xml:space="preserve">[See 376] Two entries of the same account were displayed. It was found that there were two transactions booked under the same account so the current display is misleading. Only one entry should be displayed since there is only one physical account. </v>
          </cell>
          <cell r="L388" t="str">
            <v>-</v>
          </cell>
          <cell r="M388" t="str">
            <v>Incidents 2Sep99\Helen\02Sep99-cycle4.doc</v>
          </cell>
          <cell r="N388" t="str">
            <v>6 Sep 99: Fixed in v1.5+ [Sandeep]. 07 Sept 99: Duplicate of 376 [Aegidia].</v>
          </cell>
          <cell r="O388" t="str">
            <v>P1</v>
          </cell>
          <cell r="P388">
            <v>1.5</v>
          </cell>
        </row>
        <row r="389">
          <cell r="A389">
            <v>388</v>
          </cell>
          <cell r="B389">
            <v>36406</v>
          </cell>
          <cell r="C389" t="str">
            <v>Andrew</v>
          </cell>
          <cell r="D389" t="str">
            <v>U</v>
          </cell>
          <cell r="E389" t="str">
            <v>CT</v>
          </cell>
          <cell r="F389" t="str">
            <v>SC</v>
          </cell>
          <cell r="G389" t="str">
            <v>Inq</v>
          </cell>
          <cell r="I389" t="str">
            <v>X</v>
          </cell>
          <cell r="J389" t="str">
            <v>Closed</v>
          </cell>
          <cell r="K389" t="str">
            <v xml:space="preserve">Andrew describes 2 Scenarios, 1 of which is: A relationship head that has no role in GEG and LEG will not be setup in EG. When an inquiry is done from the "Relationship" tab on the "CSP Home" Screen, you will get the 2nd Screen shown. If the relationship </v>
          </cell>
          <cell r="L389" t="str">
            <v>-</v>
          </cell>
          <cell r="M389" t="str">
            <v>..\SCREEN SHOTS\Incidents 03 Aug\Andrew\Sep 02.doc</v>
          </cell>
          <cell r="N389" t="str">
            <v>03 Sept 99: Potential SHOW STOPPER [Andrew]. 6 Sep 99: Fixed in v1.5+ [Sandeep]. 07 Sept 99: Verified fix in v1.5+ [Andrew].</v>
          </cell>
          <cell r="O389" t="str">
            <v>P1</v>
          </cell>
          <cell r="P389">
            <v>1.5</v>
          </cell>
        </row>
        <row r="390">
          <cell r="A390">
            <v>389</v>
          </cell>
          <cell r="B390">
            <v>36406</v>
          </cell>
          <cell r="C390" t="str">
            <v>Miranda</v>
          </cell>
          <cell r="D390" t="str">
            <v>U</v>
          </cell>
          <cell r="E390" t="str">
            <v>DR</v>
          </cell>
          <cell r="F390" t="str">
            <v>AW</v>
          </cell>
          <cell r="G390" t="str">
            <v>Inq</v>
          </cell>
          <cell r="I390" t="str">
            <v>H</v>
          </cell>
          <cell r="J390" t="str">
            <v>Closed</v>
          </cell>
          <cell r="K390" t="str">
            <v>For time deposits in WHEM account, the principal amount of the deposit is displayed with zero while the P+I is shown in USD532,631.09.</v>
          </cell>
          <cell r="L390" t="str">
            <v>-</v>
          </cell>
          <cell r="M390" t="str">
            <v>\\FS666F04\USER1\JROITMAN\INTERIM_JACOB\SCREEN SHOTS\23 Sept 99\Miranda\CSP UAT Retest result as of Sept. 23 - MC1.doc</v>
          </cell>
          <cell r="N390" t="str">
            <v>10 Sep 99: Targeted at Phase 1 [Peter].   17 Sept 99: This has been fixed by the ClientWindow team and will be ready for re-test on 20 Sep.[Aegidia]  23 Sept 99: Fix verified by Miranda.</v>
          </cell>
          <cell r="O390" t="str">
            <v>P1</v>
          </cell>
        </row>
        <row r="391">
          <cell r="A391">
            <v>390</v>
          </cell>
          <cell r="B391">
            <v>36406</v>
          </cell>
          <cell r="C391" t="str">
            <v>Miranda</v>
          </cell>
          <cell r="D391" t="str">
            <v>U</v>
          </cell>
          <cell r="E391" t="str">
            <v>DR</v>
          </cell>
          <cell r="F391" t="str">
            <v>AW</v>
          </cell>
          <cell r="G391" t="str">
            <v>Inq</v>
          </cell>
          <cell r="I391" t="str">
            <v>H</v>
          </cell>
          <cell r="J391" t="str">
            <v>Re-Raised</v>
          </cell>
          <cell r="K391" t="str">
            <v>For Margin loans in WHEM account, no “Maturity Date” is shown in “Demand or Time Loan”. The amount of “Accrued Interest” was not included in the Maturity Amount (P+ Acc I).</v>
          </cell>
          <cell r="L391" t="str">
            <v>-</v>
          </cell>
          <cell r="M391" t="str">
            <v>\\FS666F04\USER1\JROITMAN\INTERIM_JACOB\SCREEN SHOTS\23 Sept 99\Miranda\CSP UAT Retest result as of Sept. 23 - MC1.doc</v>
          </cell>
          <cell r="N391" t="str">
            <v xml:space="preserve">10 Sep 99: Targeted at Phase 1 [Peter].   17 Sept 99: This has been fixed by the ClientWindow team and will be ready for re-test on 20 Sep.[Aegidia]  23 Sept 99: The Maturity Date and Start Date are still not displayed. [Miranda] 
</v>
          </cell>
          <cell r="O391" t="str">
            <v>P1</v>
          </cell>
        </row>
        <row r="392">
          <cell r="A392">
            <v>391</v>
          </cell>
          <cell r="B392">
            <v>36406</v>
          </cell>
          <cell r="C392" t="str">
            <v>Miranda</v>
          </cell>
          <cell r="D392" t="str">
            <v>U</v>
          </cell>
          <cell r="E392" t="str">
            <v>CT</v>
          </cell>
          <cell r="F392" t="str">
            <v>SC</v>
          </cell>
          <cell r="G392" t="str">
            <v>Inq</v>
          </cell>
          <cell r="I392" t="str">
            <v>H</v>
          </cell>
          <cell r="J392" t="str">
            <v>Fixed</v>
          </cell>
          <cell r="K392" t="str">
            <v>The server is unavailable around 6 p.m.</v>
          </cell>
          <cell r="L392" t="str">
            <v>-</v>
          </cell>
          <cell r="M392" t="str">
            <v>Incidents 3Sep99\Miranda\CSP UAT Incidents on Sept. 3 - MC.doc</v>
          </cell>
          <cell r="N392" t="str">
            <v>9 Sep 99: Fixed in v1.5+ in PAT [Sandeep].</v>
          </cell>
          <cell r="O392" t="str">
            <v>P1</v>
          </cell>
          <cell r="P392">
            <v>1.5</v>
          </cell>
        </row>
        <row r="393">
          <cell r="A393">
            <v>392</v>
          </cell>
          <cell r="B393">
            <v>36406</v>
          </cell>
          <cell r="C393" t="str">
            <v>Andrew</v>
          </cell>
          <cell r="D393" t="str">
            <v>U</v>
          </cell>
          <cell r="E393" t="str">
            <v>CT</v>
          </cell>
          <cell r="F393" t="str">
            <v>SC</v>
          </cell>
          <cell r="G393" t="str">
            <v>EG</v>
          </cell>
          <cell r="I393" t="str">
            <v>L</v>
          </cell>
          <cell r="J393" t="str">
            <v>Closed</v>
          </cell>
          <cell r="K393" t="str">
            <v xml:space="preserve">Maker successfully makes EG creation/changes. While the Checker is the approval point, the Maker successfully rejects his own changes/updates. The Checker, unaware of this rejection, proceeds with his approval and get the following correct error message: </v>
          </cell>
          <cell r="L393" t="str">
            <v>-</v>
          </cell>
          <cell r="M393" t="str">
            <v>Incidents 3Sep99\Andrew\Sep 03.doc</v>
          </cell>
          <cell r="N393" t="str">
            <v>07 Sept 99: Incident corrected; request you to re-test [Pankaj]. 07 Sept 99: Re-raised by Andrew. Fixed verified in v1.5+ [Andrew].</v>
          </cell>
          <cell r="O393" t="str">
            <v>P1</v>
          </cell>
          <cell r="P393">
            <v>1.5</v>
          </cell>
        </row>
        <row r="394">
          <cell r="A394">
            <v>393</v>
          </cell>
          <cell r="B394">
            <v>36406</v>
          </cell>
          <cell r="C394" t="str">
            <v>Andrew</v>
          </cell>
          <cell r="D394" t="str">
            <v>U</v>
          </cell>
          <cell r="E394" t="str">
            <v>CT</v>
          </cell>
          <cell r="F394" t="str">
            <v>SC</v>
          </cell>
          <cell r="G394" t="str">
            <v>Inq</v>
          </cell>
          <cell r="I394" t="str">
            <v>H</v>
          </cell>
          <cell r="J394" t="str">
            <v>Closed</v>
          </cell>
          <cell r="K394" t="str">
            <v>GEID 0000532442 when logged in Singapore has error message: “You cannot login today”. But another user in Hong Kong logs in, it is fine. Problem? The same message is also encountered when GEID 0001499068 (CIU User) tries to log in.</v>
          </cell>
          <cell r="L394" t="str">
            <v>-</v>
          </cell>
          <cell r="M394" t="str">
            <v>Incidents 3Sep99\Andrew\Sep 03.doc</v>
          </cell>
          <cell r="N394" t="str">
            <v>4 Sep 99: Verified fix in v1.5 [Andrew].</v>
          </cell>
          <cell r="O394" t="str">
            <v>P1</v>
          </cell>
          <cell r="P394">
            <v>1.5</v>
          </cell>
        </row>
        <row r="395">
          <cell r="A395">
            <v>394</v>
          </cell>
          <cell r="B395">
            <v>36406</v>
          </cell>
          <cell r="C395" t="str">
            <v>Andrew</v>
          </cell>
          <cell r="D395" t="str">
            <v>U</v>
          </cell>
          <cell r="E395" t="str">
            <v>CT</v>
          </cell>
          <cell r="F395" t="str">
            <v>SC</v>
          </cell>
          <cell r="G395" t="str">
            <v>Inq</v>
          </cell>
          <cell r="I395" t="str">
            <v>H</v>
          </cell>
          <cell r="J395" t="str">
            <v>Fixed</v>
          </cell>
          <cell r="K395" t="str">
            <v>Performance: Response time has been very slow since 5:15pm. And this error message appears after a long wait: “Document contains no data”. Per Anup (Technology), there is a problem with the server.</v>
          </cell>
          <cell r="L395" t="str">
            <v>-</v>
          </cell>
          <cell r="M395" t="str">
            <v>Incidents 3Sep99\Andrew\Sep 03.doc</v>
          </cell>
          <cell r="N395" t="str">
            <v>9 Sep 99: Fixed in v1.5+ in PAT [Sandeep].</v>
          </cell>
          <cell r="O395" t="str">
            <v>P1</v>
          </cell>
          <cell r="P395">
            <v>1.5</v>
          </cell>
        </row>
        <row r="396">
          <cell r="A396">
            <v>395</v>
          </cell>
          <cell r="B396">
            <v>36407</v>
          </cell>
          <cell r="C396" t="str">
            <v>Andrew</v>
          </cell>
          <cell r="D396" t="str">
            <v>U</v>
          </cell>
          <cell r="E396" t="str">
            <v>CT</v>
          </cell>
          <cell r="F396" t="str">
            <v>SC</v>
          </cell>
          <cell r="G396" t="str">
            <v>Inq</v>
          </cell>
          <cell r="I396" t="str">
            <v>H</v>
          </cell>
          <cell r="J396" t="str">
            <v>Closed</v>
          </cell>
          <cell r="K396" t="str">
            <v>[Similar to 365] From the Action Item tool bar, I clicked on My Team Relationship and then “next Page”, but I could not select any of the relationships in the 2nd screen. Also, clicking on the “previous Page” and “next Page” do not work, looks like it jus</v>
          </cell>
          <cell r="L396" t="str">
            <v>-</v>
          </cell>
          <cell r="M396" t="str">
            <v>Incidents 4Sep99\Andrew\Sep 04.doc</v>
          </cell>
          <cell r="N396" t="str">
            <v>6 Sep 99: Verified fix in v1.5 [Andrew].</v>
          </cell>
          <cell r="O396" t="str">
            <v>P1</v>
          </cell>
          <cell r="P396">
            <v>1.5</v>
          </cell>
        </row>
        <row r="397">
          <cell r="A397">
            <v>396</v>
          </cell>
          <cell r="B397">
            <v>36407</v>
          </cell>
          <cell r="C397" t="str">
            <v>Andrew</v>
          </cell>
          <cell r="D397" t="str">
            <v>U</v>
          </cell>
          <cell r="E397" t="str">
            <v>CT</v>
          </cell>
          <cell r="F397" t="str">
            <v>SC</v>
          </cell>
          <cell r="G397" t="str">
            <v>Cor</v>
          </cell>
          <cell r="I397" t="str">
            <v>H</v>
          </cell>
          <cell r="J397" t="str">
            <v>Fixed</v>
          </cell>
          <cell r="K397" t="str">
            <v>The 1st screen shows that there are no user utilities defined in CSP. From this screen, I did a corridor from “Liability No.”. Corridor is successful. User ID is input and logs on to the MBOasis system successfully. Now, Utilities shows that the user ID i</v>
          </cell>
          <cell r="L397" t="str">
            <v>-</v>
          </cell>
          <cell r="M397" t="str">
            <v>Incidents 4Sep99\Andrew\Sep 04.doc</v>
          </cell>
          <cell r="N397" t="str">
            <v xml:space="preserve">9 Sep 99: Fixed in v1.5+ in PAT [Sandeep]. 9 Sep 99: Failed verification in v1.5+ in PAT [Andrew]. 13 Sept 99: Request you to get  your OASIS UAT id checked and then re-test. [Prasad]  17 Sept 99:  Reported as fixed [Sandeep]
</v>
          </cell>
          <cell r="O397" t="str">
            <v>P1</v>
          </cell>
          <cell r="P397">
            <v>1.5</v>
          </cell>
        </row>
        <row r="398">
          <cell r="A398">
            <v>397</v>
          </cell>
          <cell r="B398">
            <v>36407</v>
          </cell>
          <cell r="C398" t="str">
            <v>Miranda</v>
          </cell>
          <cell r="D398" t="str">
            <v>U</v>
          </cell>
          <cell r="E398" t="str">
            <v>NR</v>
          </cell>
          <cell r="F398" t="str">
            <v>PA</v>
          </cell>
          <cell r="G398" t="str">
            <v>Inq</v>
          </cell>
          <cell r="I398" t="str">
            <v>?</v>
          </cell>
          <cell r="J398" t="str">
            <v>Auth</v>
          </cell>
          <cell r="K398" t="str">
            <v>Suggest to add one more column “market value + acc I” as same as fixed income in the details asset of floating rate notes.</v>
          </cell>
          <cell r="L398" t="str">
            <v>-</v>
          </cell>
          <cell r="M398" t="str">
            <v>Incidents 4Sep99\Miranda\CSP UAT Incidents on Sept. 4 - MC.doc</v>
          </cell>
          <cell r="O398" t="str">
            <v>P2</v>
          </cell>
        </row>
        <row r="399">
          <cell r="A399">
            <v>398</v>
          </cell>
          <cell r="B399">
            <v>36409</v>
          </cell>
          <cell r="C399" t="str">
            <v>Aegidia</v>
          </cell>
          <cell r="D399" t="str">
            <v>U</v>
          </cell>
          <cell r="E399" t="str">
            <v>CT</v>
          </cell>
          <cell r="F399" t="str">
            <v>SC</v>
          </cell>
          <cell r="G399" t="str">
            <v>Inq</v>
          </cell>
          <cell r="I399" t="str">
            <v>H</v>
          </cell>
          <cell r="J399" t="str">
            <v>Fixed</v>
          </cell>
          <cell r="K399" t="str">
            <v>For OTC options, strike prices displayed on screen were different from that in the feed.</v>
          </cell>
          <cell r="L399" t="str">
            <v>-</v>
          </cell>
          <cell r="M399" t="str">
            <v>..\SCREEN SHOTS\Incidents 04 Sept\Aegidia\PRF 990906.doc</v>
          </cell>
          <cell r="N399" t="str">
            <v>13 Sept 99: Strike price for OTC options displayed in CSP is different from the feed. [Sam]  13 Sept 99:  Reported as fixed [Sandeep].</v>
          </cell>
          <cell r="O399" t="str">
            <v>P1</v>
          </cell>
          <cell r="P399">
            <v>1.5</v>
          </cell>
        </row>
        <row r="400">
          <cell r="A400">
            <v>399</v>
          </cell>
          <cell r="B400">
            <v>36409</v>
          </cell>
          <cell r="C400" t="str">
            <v>Veronica</v>
          </cell>
          <cell r="D400" t="str">
            <v>U</v>
          </cell>
          <cell r="E400" t="str">
            <v>CT</v>
          </cell>
          <cell r="F400" t="str">
            <v>SC</v>
          </cell>
          <cell r="G400" t="str">
            <v>Cor</v>
          </cell>
          <cell r="I400" t="str">
            <v>X</v>
          </cell>
          <cell r="J400" t="str">
            <v>Closed</v>
          </cell>
          <cell r="K400" t="str">
            <v>Although CSP closes the connection, CSP does not log the user out. In Systematics – the user has to type in TSSF LO to logout – there is no opportunity to do that in CSP.</v>
          </cell>
          <cell r="L400" t="str">
            <v>-</v>
          </cell>
          <cell r="M400" t="str">
            <v>..\SCREEN SHOTS\Incidents 04_06 Sept\Veronica\SI0906.doc</v>
          </cell>
          <cell r="N400" t="str">
            <v>08 Sept 99: Fix verified by Keith.</v>
          </cell>
          <cell r="O400" t="str">
            <v>P1</v>
          </cell>
          <cell r="P400">
            <v>1.5</v>
          </cell>
        </row>
        <row r="401">
          <cell r="A401">
            <v>400</v>
          </cell>
          <cell r="B401">
            <v>36409</v>
          </cell>
          <cell r="C401" t="str">
            <v>Andrew</v>
          </cell>
          <cell r="D401" t="str">
            <v>U</v>
          </cell>
          <cell r="E401" t="str">
            <v>CT</v>
          </cell>
          <cell r="F401" t="str">
            <v>SC</v>
          </cell>
          <cell r="G401" t="str">
            <v>Inq</v>
          </cell>
          <cell r="I401" t="str">
            <v>H</v>
          </cell>
          <cell r="J401" t="str">
            <v>Closed</v>
          </cell>
          <cell r="K401" t="str">
            <v>Cannot install CSP Admin for testing User Maintenance Tables. While trying to open Citisafe program, the following message appears, but under the Taskbar it does not show any Citisafe application already opened: “CitiSAFE client instance already running”.</v>
          </cell>
          <cell r="L401" t="str">
            <v>-</v>
          </cell>
          <cell r="M401" t="str">
            <v>Incidents 6Sep99\Andrew\Sep 06.doc</v>
          </cell>
          <cell r="N401" t="str">
            <v>8 Sep 99: Fixed in v1.5+ [Sandeep]. 10 Sep 99: Verified fix in v1.5+ in PAT [Andrew].</v>
          </cell>
          <cell r="O401" t="str">
            <v>P1</v>
          </cell>
          <cell r="P401">
            <v>1.5</v>
          </cell>
        </row>
        <row r="402">
          <cell r="A402">
            <v>401</v>
          </cell>
          <cell r="B402">
            <v>36409</v>
          </cell>
          <cell r="C402" t="str">
            <v>Miranda</v>
          </cell>
          <cell r="D402" t="str">
            <v>U</v>
          </cell>
          <cell r="E402" t="str">
            <v>CT</v>
          </cell>
          <cell r="F402" t="str">
            <v>SC</v>
          </cell>
          <cell r="G402" t="str">
            <v>Inq</v>
          </cell>
          <cell r="I402" t="str">
            <v>M</v>
          </cell>
          <cell r="J402" t="str">
            <v>Auth</v>
          </cell>
          <cell r="K402" t="str">
            <v>The error message “no matching data for the search criteria” is displayed when user wants to search the name under “create/update” level for the same relationship at EG setup after the approval. The only method is to click any function at the upper bar an</v>
          </cell>
          <cell r="L402" t="str">
            <v>-</v>
          </cell>
          <cell r="M402" t="str">
            <v>Incidents 27Aug99\Miranda\CSP UAT Incidents on Aug. 27 (2nd) - MC.doc</v>
          </cell>
          <cell r="N402" t="str">
            <v>10 Sep 99: Targeted at Phase 2 [Peter].</v>
          </cell>
          <cell r="O402" t="str">
            <v>P2</v>
          </cell>
        </row>
        <row r="403">
          <cell r="A403">
            <v>402</v>
          </cell>
          <cell r="B403">
            <v>36409</v>
          </cell>
          <cell r="C403" t="str">
            <v>Miranda</v>
          </cell>
          <cell r="D403" t="str">
            <v>U</v>
          </cell>
          <cell r="E403" t="str">
            <v>DR</v>
          </cell>
          <cell r="F403" t="str">
            <v>AW</v>
          </cell>
          <cell r="G403" t="str">
            <v>Inq</v>
          </cell>
          <cell r="I403" t="str">
            <v>H</v>
          </cell>
          <cell r="J403" t="str">
            <v>Re-Raised</v>
          </cell>
          <cell r="K403" t="str">
            <v xml:space="preserve">In London/Zurich A/C, the deal rate and market price are quoted in different ways. E.g. the deal rate is quoted per unit in AUD at 0.6507, the market price is quoted per unit in USD at 1.5716. </v>
          </cell>
          <cell r="L403" t="str">
            <v>-</v>
          </cell>
          <cell r="M403" t="str">
            <v>\\FS666F04\USER1\JROITMAN\INTERIM_JACOB\SCREEN SHOTS\23 Sept 99\Miranda\CSP UAT Retest result as of Sept. 23 - MC1.doc</v>
          </cell>
          <cell r="N403" t="str">
            <v>8 Sep 99: Wrong feed issue, fixed in v1.5+ [Aegidia].  23 Sept 99:  Fix did not work [Miranda]</v>
          </cell>
          <cell r="O403" t="str">
            <v>P1</v>
          </cell>
          <cell r="P403">
            <v>1.5</v>
          </cell>
        </row>
        <row r="404">
          <cell r="A404">
            <v>403</v>
          </cell>
          <cell r="B404">
            <v>36409</v>
          </cell>
          <cell r="C404" t="str">
            <v>Miranda</v>
          </cell>
          <cell r="D404" t="str">
            <v>U</v>
          </cell>
          <cell r="E404" t="str">
            <v>DR</v>
          </cell>
          <cell r="F404" t="str">
            <v>AW</v>
          </cell>
          <cell r="G404" t="str">
            <v>Inq</v>
          </cell>
          <cell r="I404" t="str">
            <v>H</v>
          </cell>
          <cell r="J404" t="str">
            <v>Closed</v>
          </cell>
          <cell r="K404" t="str">
            <v>For equities in London account, why is the market value zero while the market price is a non-zero figure and positive.</v>
          </cell>
          <cell r="L404" t="str">
            <v>-</v>
          </cell>
          <cell r="M404" t="str">
            <v>\\FS666F04\USER1\JROITMAN\INTERIM_JACOB\SCREEN SHOTS\23 Sept 99\Miranda\CSP UAT Retest result as of Sept. 23 - MC1.doc</v>
          </cell>
          <cell r="N404" t="str">
            <v xml:space="preserve">10 Sep 99: Targeted at Phase 1 [Peter].   17 Sept 99: Ready for re-test [Aegidia]  23 Sept 99:  Verified by Miranda.
</v>
          </cell>
          <cell r="O404" t="str">
            <v>P1</v>
          </cell>
        </row>
        <row r="405">
          <cell r="A405">
            <v>404</v>
          </cell>
          <cell r="B405">
            <v>36409</v>
          </cell>
          <cell r="C405" t="str">
            <v>Miranda</v>
          </cell>
          <cell r="D405" t="str">
            <v>U</v>
          </cell>
          <cell r="E405" t="str">
            <v>DR</v>
          </cell>
          <cell r="F405" t="str">
            <v>AW</v>
          </cell>
          <cell r="G405" t="str">
            <v>Inq</v>
          </cell>
          <cell r="H405" t="str">
            <v>M</v>
          </cell>
          <cell r="I405" t="str">
            <v>H</v>
          </cell>
          <cell r="J405" t="str">
            <v>Closed</v>
          </cell>
          <cell r="K405" t="str">
            <v>[Similar to 327] Do not map the accrued interest in the Portfolio details screen. Otherwise, the total value of the PCTA account is wrong.</v>
          </cell>
          <cell r="L405" t="str">
            <v>-</v>
          </cell>
          <cell r="M405" t="str">
            <v>\\FS666F04\USER1\JROITMAN\INTERIM_JACOB\SCREEN SHOTS\23 Sept 99\Miranda\CSP UAT Retest result as of Sept. 23 - MC1.doc</v>
          </cell>
          <cell r="N405" t="str">
            <v xml:space="preserve">10 Sep 99: Targeted at Phase 1 [Peter].  23 Sept 99: The PCTA is a monthly interest account, the above requirement is not necessary.  [Miranda]
</v>
          </cell>
          <cell r="O405" t="str">
            <v>P1</v>
          </cell>
        </row>
        <row r="406">
          <cell r="A406">
            <v>405</v>
          </cell>
          <cell r="B406">
            <v>36411</v>
          </cell>
          <cell r="C406" t="str">
            <v>Frances</v>
          </cell>
          <cell r="D406" t="str">
            <v>U</v>
          </cell>
          <cell r="E406" t="str">
            <v>UT</v>
          </cell>
          <cell r="F406" t="str">
            <v>PA</v>
          </cell>
          <cell r="G406" t="str">
            <v>SCL</v>
          </cell>
          <cell r="I406" t="str">
            <v>L</v>
          </cell>
          <cell r="J406" t="str">
            <v>Closed</v>
          </cell>
          <cell r="K406" t="str">
            <v>Could not locate the read flag (read/unread status) in the In-process option. Report show status of log remains 'Open' despite having read the log. Where can the read flag be located?</v>
          </cell>
          <cell r="L406" t="str">
            <v>-</v>
          </cell>
          <cell r="M406" t="str">
            <v>..\SCREEN SHOTS\Incidents 08 Sept\Frances\CSPUATIncRpt.xls</v>
          </cell>
          <cell r="O406" t="str">
            <v>P1</v>
          </cell>
          <cell r="P406">
            <v>1.5</v>
          </cell>
        </row>
        <row r="407">
          <cell r="A407">
            <v>406</v>
          </cell>
          <cell r="B407">
            <v>36411</v>
          </cell>
          <cell r="C407" t="str">
            <v>Frances</v>
          </cell>
          <cell r="D407" t="str">
            <v>U</v>
          </cell>
          <cell r="E407" t="str">
            <v>CT</v>
          </cell>
          <cell r="F407" t="str">
            <v>SC</v>
          </cell>
          <cell r="G407" t="str">
            <v>SCL</v>
          </cell>
          <cell r="I407" t="str">
            <v>L</v>
          </cell>
          <cell r="J407" t="str">
            <v>Fixed</v>
          </cell>
          <cell r="K407" t="str">
            <v>Generate report printing for all 'in-process' logs, logs with 'open status' are also included. Any problem with the selection process?</v>
          </cell>
          <cell r="L407" t="str">
            <v>-</v>
          </cell>
          <cell r="M407" t="str">
            <v>..\SCREEN SHOTS\Incidents 08 Sept\Frances\CSPUATIncRpt.xls</v>
          </cell>
          <cell r="N407" t="str">
            <v>10 Sep 99: Fixed in v1.5+ in PAT [Pankaj].</v>
          </cell>
          <cell r="O407" t="str">
            <v>P1</v>
          </cell>
          <cell r="P407">
            <v>1.5</v>
          </cell>
        </row>
        <row r="408">
          <cell r="A408">
            <v>407</v>
          </cell>
          <cell r="B408">
            <v>36411</v>
          </cell>
          <cell r="C408" t="str">
            <v xml:space="preserve">Mike </v>
          </cell>
          <cell r="D408" t="str">
            <v>P</v>
          </cell>
          <cell r="E408" t="str">
            <v>CT</v>
          </cell>
          <cell r="F408" t="str">
            <v>SC</v>
          </cell>
          <cell r="G408" t="str">
            <v>Inq</v>
          </cell>
          <cell r="I408" t="str">
            <v>X</v>
          </cell>
          <cell r="J408" t="str">
            <v>Closed</v>
          </cell>
          <cell r="K408" t="str">
            <v>Not all figures' decimal point should be suppressed for Japanese Yen. There are certain fields that require this information. These include: Interest Rate, Exchange Rate and Stock Rate. There may be others.</v>
          </cell>
          <cell r="L408" t="str">
            <v>-</v>
          </cell>
          <cell r="M408" t="str">
            <v>..\SCREEN SHOTS\Incidents 09 Sept\Veronica\decimal.doc</v>
          </cell>
          <cell r="N408" t="str">
            <v>8 Sep 99: All fields for JPY needs to be reviewed for this requirement [Sandeep]. 13 Sept 99: Fix verified by Keith and Iida-san (in PAT on v1.5+?).</v>
          </cell>
          <cell r="O408" t="str">
            <v>P1</v>
          </cell>
          <cell r="P408">
            <v>1.5</v>
          </cell>
        </row>
        <row r="409">
          <cell r="A409">
            <v>408</v>
          </cell>
          <cell r="B409">
            <v>36412</v>
          </cell>
          <cell r="C409" t="str">
            <v>Miranda</v>
          </cell>
          <cell r="D409" t="str">
            <v>P</v>
          </cell>
          <cell r="E409" t="str">
            <v>DR</v>
          </cell>
          <cell r="F409" t="str">
            <v>AW</v>
          </cell>
          <cell r="G409" t="str">
            <v>Inq</v>
          </cell>
          <cell r="I409" t="str">
            <v>H</v>
          </cell>
          <cell r="J409" t="str">
            <v>Re-Raised</v>
          </cell>
          <cell r="K409" t="str">
            <v>(1) The figure of  3,570.34 under current value (USD) should be the weight of the precious metals. (2) The market price is shown zero. (3) Then, the current value was incorrect.</v>
          </cell>
          <cell r="L409" t="str">
            <v>-</v>
          </cell>
          <cell r="M409" t="str">
            <v>\\FS666F04\USER1\JROITMAN\INTERIM_JACOB\SCREEN SHOTS\23 Sept 99\Miranda\CSP UAT Retest result as of Sept. 23 - MC1.doc</v>
          </cell>
          <cell r="N409" t="str">
            <v>13 Sept 99: CSP reports precious metal totally wrongly [Sam].  23 Sept 99: Fix did not work[Miranda]</v>
          </cell>
          <cell r="O409" t="str">
            <v>P1</v>
          </cell>
        </row>
        <row r="410">
          <cell r="A410">
            <v>409</v>
          </cell>
          <cell r="B410">
            <v>36412</v>
          </cell>
          <cell r="C410" t="str">
            <v>Miranda</v>
          </cell>
          <cell r="D410" t="str">
            <v>P</v>
          </cell>
          <cell r="E410" t="str">
            <v>NR</v>
          </cell>
          <cell r="F410" t="str">
            <v>PA</v>
          </cell>
          <cell r="G410" t="str">
            <v>Inq</v>
          </cell>
          <cell r="I410" t="str">
            <v>?</v>
          </cell>
          <cell r="J410" t="str">
            <v>Auth</v>
          </cell>
          <cell r="K410" t="str">
            <v>In foreign exchange level, suggest to change “Buy Currency” to “Client Buy Currency”, “Sell Currency” to “Client Sell Currency”.</v>
          </cell>
          <cell r="L410" t="str">
            <v>-</v>
          </cell>
          <cell r="M410" t="str">
            <v>Incidents 9Sep99\Miranda\CSP UAT Incidents on Sept. 9 - MC.doc</v>
          </cell>
        </row>
        <row r="411">
          <cell r="A411">
            <v>410</v>
          </cell>
          <cell r="B411">
            <v>36412</v>
          </cell>
          <cell r="C411" t="str">
            <v>Helen</v>
          </cell>
          <cell r="D411" t="str">
            <v>P</v>
          </cell>
          <cell r="E411" t="str">
            <v>DR</v>
          </cell>
          <cell r="F411" t="str">
            <v>AW</v>
          </cell>
          <cell r="G411" t="str">
            <v>Inq</v>
          </cell>
          <cell r="J411" t="str">
            <v>Closed</v>
          </cell>
          <cell r="K411" t="str">
            <v>The description of "Citiplus time deposits" is not correct.</v>
          </cell>
          <cell r="L411" t="str">
            <v>-</v>
          </cell>
          <cell r="M411" t="str">
            <v>\\FS666F04\USER1\JROITMAN\INTERIM_JACOB\SCREEN SHOTS\23 Sept 99\Helen\23Sep99-retest1.5.doc</v>
          </cell>
          <cell r="N411" t="str">
            <v xml:space="preserve">17 Sept 99:  Ready for re-test on 20 Sept [Aegidia]  23 Sept 99: Not okay. No description! [Helen]  23 Sept 99: Citiplus does not pass Product Description to us, hence the field should be blank (true for both Singapore and Japan).[Aegidia]
      </v>
          </cell>
        </row>
        <row r="412">
          <cell r="A412">
            <v>411</v>
          </cell>
          <cell r="B412">
            <v>36413</v>
          </cell>
          <cell r="C412" t="str">
            <v>Aegidia</v>
          </cell>
          <cell r="D412" t="str">
            <v>P</v>
          </cell>
          <cell r="E412" t="str">
            <v>CT</v>
          </cell>
          <cell r="F412" t="str">
            <v>SC</v>
          </cell>
          <cell r="G412" t="str">
            <v>Inq</v>
          </cell>
          <cell r="I412" t="str">
            <v>H</v>
          </cell>
          <cell r="J412" t="str">
            <v>Closed</v>
          </cell>
          <cell r="K412" t="str">
            <v>The description for a/c 0/111111/006 was present in the feed but not shown on the screen.</v>
          </cell>
          <cell r="L412" t="str">
            <v>-</v>
          </cell>
          <cell r="M412" t="str">
            <v>..\SCREEN SHOTS\Incidents 10 Sept\Aegidia\Account Description missing from Account Details.rtf</v>
          </cell>
          <cell r="N412" t="str">
            <v>13 Sep 99: User error, please close [Aegidia].</v>
          </cell>
          <cell r="O412" t="str">
            <v>P1</v>
          </cell>
          <cell r="P412">
            <v>1.5</v>
          </cell>
        </row>
        <row r="413">
          <cell r="A413">
            <v>412</v>
          </cell>
          <cell r="B413">
            <v>36419</v>
          </cell>
          <cell r="C413" t="str">
            <v>Iida</v>
          </cell>
          <cell r="D413" t="str">
            <v>P</v>
          </cell>
          <cell r="E413" t="str">
            <v>CT</v>
          </cell>
          <cell r="F413" t="str">
            <v>SC</v>
          </cell>
          <cell r="J413" t="str">
            <v>Raised</v>
          </cell>
          <cell r="K413" t="str">
            <v xml:space="preserve">On the Time Deposit screen, could not corridor from product description even though hyperlink bar appears; could only corridor through the reference number.  It is preferable to only hyperlink via the reference number.  </v>
          </cell>
          <cell r="L413" t="str">
            <v>-</v>
          </cell>
          <cell r="M413" t="str">
            <v>..\SCREEN SHOTS\Incidents 21 Sept\Iida\tdw~1.doc</v>
          </cell>
          <cell r="N413" t="str">
            <v xml:space="preserve">21 Sept 99: The product description field should not have a hyperlink.[Veronica]
</v>
          </cell>
        </row>
        <row r="414">
          <cell r="A414">
            <v>413</v>
          </cell>
          <cell r="B414">
            <v>36426</v>
          </cell>
          <cell r="C414" t="str">
            <v>Helen</v>
          </cell>
          <cell r="D414" t="str">
            <v>P</v>
          </cell>
          <cell r="F414">
            <v>0</v>
          </cell>
          <cell r="J414" t="str">
            <v>Raised</v>
          </cell>
          <cell r="K414" t="str">
            <v>Checking up unlinked GCB account number in EG setup and attempt to link the GCB base to a client. The message returned was the base number not available.</v>
          </cell>
          <cell r="L414" t="str">
            <v>-</v>
          </cell>
          <cell r="M414" t="str">
            <v>\\FS666F04\USER1\JROITMAN\INTERIM_JACOB\SCREEN SHOTS\Helen\23Sep99-retest1.5.doc</v>
          </cell>
        </row>
      </sheetData>
      <sheetData sheetId="1">
        <row r="16">
          <cell r="A16" t="str">
            <v>No</v>
          </cell>
          <cell r="B16" t="str">
            <v>Date</v>
          </cell>
          <cell r="C16" t="str">
            <v>Raiser</v>
          </cell>
          <cell r="D16" t="str">
            <v>Typ</v>
          </cell>
          <cell r="E16" t="str">
            <v>Own</v>
          </cell>
          <cell r="F16" t="str">
            <v>Fn</v>
          </cell>
          <cell r="G16" t="str">
            <v>S</v>
          </cell>
          <cell r="H16" t="str">
            <v>P</v>
          </cell>
          <cell r="I16" t="str">
            <v>Status</v>
          </cell>
          <cell r="J16" t="str">
            <v>Description</v>
          </cell>
          <cell r="K16" t="str">
            <v>Ref No</v>
          </cell>
          <cell r="L16" t="str">
            <v>Screen Shots</v>
          </cell>
          <cell r="M16" t="str">
            <v>Comment</v>
          </cell>
          <cell r="N16" t="str">
            <v>Tgt</v>
          </cell>
          <cell r="O16" t="str">
            <v>Rel</v>
          </cell>
        </row>
        <row r="17">
          <cell r="D17" t="str">
            <v>CT</v>
          </cell>
          <cell r="I17" t="str">
            <v>Raised</v>
          </cell>
        </row>
        <row r="18">
          <cell r="D18" t="str">
            <v>CT</v>
          </cell>
          <cell r="I18" t="str">
            <v>Re-Raised</v>
          </cell>
        </row>
        <row r="19">
          <cell r="D19" t="str">
            <v>CT</v>
          </cell>
          <cell r="I19" t="str">
            <v>Auth</v>
          </cell>
        </row>
        <row r="20">
          <cell r="D20" t="str">
            <v>DR</v>
          </cell>
          <cell r="I20" t="str">
            <v>Raised</v>
          </cell>
        </row>
        <row r="21">
          <cell r="D21" t="str">
            <v>DR</v>
          </cell>
          <cell r="I21" t="str">
            <v>Re-Raised</v>
          </cell>
        </row>
        <row r="22">
          <cell r="D22" t="str">
            <v>DR</v>
          </cell>
          <cell r="I22" t="str">
            <v>Auth</v>
          </cell>
        </row>
      </sheetData>
      <sheetData sheetId="2">
        <row r="1">
          <cell r="A1" t="str">
            <v>Count of Description</v>
          </cell>
        </row>
      </sheetData>
      <sheetData sheetId="3" refreshError="1"/>
      <sheetData sheetId="4" refreshError="1"/>
      <sheetData sheetId="5" refreshError="1"/>
      <sheetData sheetId="6" refreshError="1"/>
      <sheetData sheetId="7">
        <row r="1">
          <cell r="A1" t="str">
            <v>Types</v>
          </cell>
          <cell r="C1" t="str">
            <v>Owner</v>
          </cell>
        </row>
        <row r="2">
          <cell r="A2" t="str">
            <v>CT</v>
          </cell>
          <cell r="B2" t="str">
            <v>Change by Technology</v>
          </cell>
          <cell r="C2" t="str">
            <v>SC</v>
          </cell>
          <cell r="D2" t="str">
            <v>Inq</v>
          </cell>
          <cell r="F2" t="str">
            <v>Raised</v>
          </cell>
          <cell r="H2" t="str">
            <v>X</v>
          </cell>
          <cell r="J2" t="str">
            <v>X</v>
          </cell>
          <cell r="L2" t="str">
            <v>PA</v>
          </cell>
          <cell r="N2" t="str">
            <v>P1</v>
          </cell>
          <cell r="Q2" t="str">
            <v xml:space="preserve"> </v>
          </cell>
          <cell r="S2" t="str">
            <v>U</v>
          </cell>
        </row>
        <row r="3">
          <cell r="A3" t="str">
            <v>DI</v>
          </cell>
          <cell r="B3" t="str">
            <v>Discussion Item</v>
          </cell>
          <cell r="C3" t="str">
            <v>PA</v>
          </cell>
          <cell r="D3" t="str">
            <v>EG</v>
          </cell>
          <cell r="F3" t="str">
            <v>Auth</v>
          </cell>
          <cell r="H3" t="str">
            <v>H</v>
          </cell>
          <cell r="J3" t="str">
            <v>S</v>
          </cell>
          <cell r="L3" t="str">
            <v>SC</v>
          </cell>
          <cell r="N3">
            <v>1</v>
          </cell>
          <cell r="S3" t="str">
            <v>P</v>
          </cell>
        </row>
        <row r="4">
          <cell r="A4" t="str">
            <v>DR</v>
          </cell>
          <cell r="B4" t="str">
            <v>Data Related</v>
          </cell>
          <cell r="C4" t="str">
            <v>AW</v>
          </cell>
          <cell r="D4" t="str">
            <v>Rep</v>
          </cell>
          <cell r="F4" t="str">
            <v>Fixed</v>
          </cell>
          <cell r="H4" t="str">
            <v>M</v>
          </cell>
          <cell r="J4" t="str">
            <v>M</v>
          </cell>
          <cell r="L4" t="str">
            <v>AW</v>
          </cell>
          <cell r="N4">
            <v>1.1000000000000001</v>
          </cell>
        </row>
        <row r="5">
          <cell r="A5" t="str">
            <v>MC</v>
          </cell>
          <cell r="B5" t="str">
            <v>Modify Test Case</v>
          </cell>
          <cell r="C5" t="str">
            <v>JR</v>
          </cell>
          <cell r="D5" t="str">
            <v>SCL</v>
          </cell>
          <cell r="F5" t="str">
            <v>Closed</v>
          </cell>
          <cell r="H5" t="str">
            <v>L</v>
          </cell>
          <cell r="J5" t="str">
            <v>L</v>
          </cell>
          <cell r="L5" t="str">
            <v>JR</v>
          </cell>
          <cell r="N5">
            <v>1.2</v>
          </cell>
        </row>
        <row r="6">
          <cell r="A6" t="str">
            <v>NR</v>
          </cell>
          <cell r="B6" t="str">
            <v>New Request</v>
          </cell>
          <cell r="C6" t="str">
            <v>PA</v>
          </cell>
          <cell r="D6" t="str">
            <v>Cor</v>
          </cell>
          <cell r="F6" t="str">
            <v>Dup</v>
          </cell>
          <cell r="H6" t="str">
            <v>?</v>
          </cell>
          <cell r="J6" t="str">
            <v>?</v>
          </cell>
          <cell r="N6">
            <v>1.3</v>
          </cell>
        </row>
        <row r="7">
          <cell r="A7" t="str">
            <v>UM</v>
          </cell>
          <cell r="B7" t="str">
            <v>User Maintenance</v>
          </cell>
          <cell r="C7" t="str">
            <v>PA</v>
          </cell>
          <cell r="F7" t="str">
            <v>Re-Raised</v>
          </cell>
          <cell r="N7">
            <v>1.4</v>
          </cell>
        </row>
        <row r="8">
          <cell r="A8" t="str">
            <v>UT</v>
          </cell>
          <cell r="B8" t="str">
            <v>User Training</v>
          </cell>
          <cell r="C8" t="str">
            <v>PA</v>
          </cell>
          <cell r="N8">
            <v>1.5</v>
          </cell>
        </row>
        <row r="9">
          <cell r="N9" t="str">
            <v>P2</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G14"/>
  <sheetViews>
    <sheetView workbookViewId="0">
      <pane ySplit="3" topLeftCell="A4" activePane="bottomLeft" state="frozen"/>
      <selection activeCell="D8" sqref="D8"/>
      <selection pane="bottomLeft" activeCell="F12" sqref="F12"/>
    </sheetView>
  </sheetViews>
  <sheetFormatPr defaultColWidth="9.109375" defaultRowHeight="13.2" x14ac:dyDescent="0.25"/>
  <cols>
    <col min="1" max="1" width="16" style="66" customWidth="1"/>
    <col min="2" max="2" width="43.33203125" style="67" bestFit="1" customWidth="1"/>
    <col min="3" max="3" width="40" style="67" customWidth="1"/>
    <col min="4" max="4" width="16.5546875" style="61" customWidth="1"/>
    <col min="5" max="5" width="17.5546875" style="61" customWidth="1"/>
    <col min="6" max="6" width="16.109375" style="61" customWidth="1"/>
    <col min="7" max="7" width="11.109375" style="61" customWidth="1"/>
    <col min="8" max="16384" width="9.109375" style="61"/>
  </cols>
  <sheetData>
    <row r="1" spans="1:7" s="52" customFormat="1" ht="17.399999999999999" x14ac:dyDescent="0.25">
      <c r="A1" s="51" t="s">
        <v>20</v>
      </c>
      <c r="B1" s="76" t="s">
        <v>27</v>
      </c>
      <c r="C1" s="77"/>
      <c r="D1" s="78"/>
      <c r="E1" s="78"/>
      <c r="F1" s="79"/>
    </row>
    <row r="2" spans="1:7" s="52" customFormat="1" ht="18" thickBot="1" x14ac:dyDescent="0.3">
      <c r="A2" s="51" t="s">
        <v>21</v>
      </c>
      <c r="B2" s="80" t="s">
        <v>41</v>
      </c>
      <c r="C2" s="81"/>
      <c r="D2" s="82"/>
      <c r="E2" s="82"/>
      <c r="F2" s="83"/>
    </row>
    <row r="3" spans="1:7" s="57" customFormat="1" ht="31.8" thickBot="1" x14ac:dyDescent="0.3">
      <c r="A3" s="53" t="s">
        <v>5</v>
      </c>
      <c r="B3" s="54" t="s">
        <v>26</v>
      </c>
      <c r="C3" s="54" t="s">
        <v>23</v>
      </c>
      <c r="D3" s="55" t="s">
        <v>10</v>
      </c>
      <c r="E3" s="56" t="s">
        <v>9</v>
      </c>
      <c r="F3" s="56" t="s">
        <v>13</v>
      </c>
    </row>
    <row r="4" spans="1:7" ht="26.4" x14ac:dyDescent="0.25">
      <c r="A4" s="1" t="s">
        <v>82</v>
      </c>
      <c r="B4" s="44" t="s">
        <v>45</v>
      </c>
      <c r="C4" s="58" t="s">
        <v>46</v>
      </c>
      <c r="D4" s="59" t="s">
        <v>18</v>
      </c>
      <c r="E4" s="60"/>
      <c r="F4" s="59" t="s">
        <v>122</v>
      </c>
    </row>
    <row r="5" spans="1:7" ht="26.4" x14ac:dyDescent="0.25">
      <c r="A5" s="1" t="s">
        <v>82</v>
      </c>
      <c r="B5" s="2" t="s">
        <v>83</v>
      </c>
      <c r="C5" s="58" t="s">
        <v>84</v>
      </c>
      <c r="D5" s="63" t="s">
        <v>14</v>
      </c>
      <c r="E5" s="64"/>
      <c r="F5" s="63" t="s">
        <v>122</v>
      </c>
    </row>
    <row r="6" spans="1:7" ht="26.4" x14ac:dyDescent="0.25">
      <c r="A6" s="1" t="s">
        <v>82</v>
      </c>
      <c r="B6" s="2" t="s">
        <v>108</v>
      </c>
      <c r="C6" s="62" t="s">
        <v>109</v>
      </c>
      <c r="D6" s="59" t="s">
        <v>16</v>
      </c>
      <c r="E6" s="64"/>
      <c r="F6" s="63" t="s">
        <v>49</v>
      </c>
    </row>
    <row r="7" spans="1:7" ht="26.4" x14ac:dyDescent="0.25">
      <c r="A7" s="1" t="s">
        <v>82</v>
      </c>
      <c r="B7" s="2" t="s">
        <v>170</v>
      </c>
      <c r="C7" s="62" t="s">
        <v>121</v>
      </c>
      <c r="D7" s="63" t="s">
        <v>17</v>
      </c>
      <c r="E7" s="64"/>
      <c r="F7" s="63" t="s">
        <v>149</v>
      </c>
    </row>
    <row r="8" spans="1:7" ht="26.4" x14ac:dyDescent="0.25">
      <c r="A8" s="1" t="s">
        <v>82</v>
      </c>
      <c r="B8" s="2" t="s">
        <v>171</v>
      </c>
      <c r="C8" s="62" t="s">
        <v>150</v>
      </c>
      <c r="D8" s="59" t="s">
        <v>15</v>
      </c>
      <c r="E8" s="64"/>
      <c r="F8" s="63" t="s">
        <v>122</v>
      </c>
    </row>
    <row r="9" spans="1:7" s="65" customFormat="1" ht="26.4" x14ac:dyDescent="0.25">
      <c r="A9" s="1" t="s">
        <v>82</v>
      </c>
      <c r="B9" s="2" t="s">
        <v>172</v>
      </c>
      <c r="C9" s="62" t="s">
        <v>173</v>
      </c>
      <c r="D9" s="63" t="s">
        <v>174</v>
      </c>
      <c r="E9" s="64"/>
      <c r="F9" s="63" t="s">
        <v>122</v>
      </c>
      <c r="G9" s="61"/>
    </row>
    <row r="10" spans="1:7" s="65" customFormat="1" ht="26.4" x14ac:dyDescent="0.25">
      <c r="A10" s="1" t="s">
        <v>82</v>
      </c>
      <c r="B10" s="2" t="s">
        <v>197</v>
      </c>
      <c r="C10" s="62" t="s">
        <v>198</v>
      </c>
      <c r="D10" s="63" t="s">
        <v>199</v>
      </c>
      <c r="E10" s="64"/>
      <c r="F10" s="63" t="s">
        <v>122</v>
      </c>
    </row>
    <row r="11" spans="1:7" ht="26.4" x14ac:dyDescent="0.25">
      <c r="A11" s="1" t="s">
        <v>82</v>
      </c>
      <c r="B11" s="2" t="s">
        <v>226</v>
      </c>
      <c r="C11" s="62" t="s">
        <v>227</v>
      </c>
      <c r="D11" s="63" t="s">
        <v>228</v>
      </c>
      <c r="E11" s="64"/>
      <c r="F11" s="63" t="s">
        <v>49</v>
      </c>
    </row>
    <row r="12" spans="1:7" ht="26.4" x14ac:dyDescent="0.25">
      <c r="A12" s="1" t="s">
        <v>82</v>
      </c>
      <c r="B12" s="2" t="s">
        <v>237</v>
      </c>
      <c r="C12" s="62" t="s">
        <v>238</v>
      </c>
      <c r="D12" s="63" t="s">
        <v>239</v>
      </c>
      <c r="E12" s="64"/>
      <c r="F12" s="63" t="s">
        <v>49</v>
      </c>
    </row>
    <row r="13" spans="1:7" x14ac:dyDescent="0.25">
      <c r="A13" s="1"/>
      <c r="B13" s="45" t="s">
        <v>42</v>
      </c>
      <c r="C13" s="62"/>
      <c r="D13" s="63"/>
      <c r="E13" s="64"/>
      <c r="F13" s="63"/>
    </row>
    <row r="14" spans="1:7" x14ac:dyDescent="0.25">
      <c r="A14" s="1"/>
      <c r="B14" s="45" t="s">
        <v>43</v>
      </c>
      <c r="C14" s="62"/>
      <c r="D14" s="63"/>
      <c r="E14" s="64"/>
      <c r="F14" s="63"/>
    </row>
  </sheetData>
  <mergeCells count="2">
    <mergeCell ref="B1:F1"/>
    <mergeCell ref="B2:F2"/>
  </mergeCells>
  <pageMargins left="0.51" right="0.27" top="0.6" bottom="0.56999999999999995" header="0.3" footer="0.33"/>
  <pageSetup paperSize="9" orientation="landscape"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J90"/>
  <sheetViews>
    <sheetView workbookViewId="0">
      <pane xSplit="3" ySplit="4" topLeftCell="D8" activePane="bottomRight" state="frozen"/>
      <selection activeCell="B13" sqref="B13"/>
      <selection pane="topRight" activeCell="B13" sqref="B13"/>
      <selection pane="bottomLeft" activeCell="B13" sqref="B13"/>
      <selection pane="bottomRight" activeCell="A17" sqref="A17:F17"/>
    </sheetView>
  </sheetViews>
  <sheetFormatPr defaultColWidth="9.109375" defaultRowHeight="13.8" x14ac:dyDescent="0.3"/>
  <cols>
    <col min="1" max="1" width="10.44140625" style="29" customWidth="1"/>
    <col min="2" max="2" width="24.88671875" style="30" customWidth="1"/>
    <col min="3" max="3" width="18.5546875" style="29" customWidth="1"/>
    <col min="4" max="4" width="20.5546875" style="29" bestFit="1" customWidth="1"/>
    <col min="5" max="5" width="12" style="30" bestFit="1" customWidth="1"/>
    <col min="6" max="6" width="66.6640625" style="30" customWidth="1"/>
    <col min="7" max="7" width="11.109375" style="30" customWidth="1"/>
    <col min="8" max="8" width="16" style="30" customWidth="1"/>
    <col min="9" max="9" width="14.6640625" style="30" customWidth="1"/>
    <col min="10" max="16384" width="9.109375" style="30"/>
  </cols>
  <sheetData>
    <row r="1" spans="1:10" s="5" customFormat="1" ht="21" customHeight="1" thickBot="1" x14ac:dyDescent="0.3">
      <c r="A1" s="3" t="s">
        <v>12</v>
      </c>
      <c r="B1" s="90" t="str">
        <f>'List of Tests'!B2</f>
        <v>Test</v>
      </c>
      <c r="C1" s="91"/>
      <c r="D1" s="92"/>
      <c r="E1" s="4"/>
      <c r="F1" s="4"/>
      <c r="G1" s="4"/>
      <c r="H1" s="4"/>
      <c r="I1" s="4"/>
    </row>
    <row r="2" spans="1:10" s="5" customFormat="1" ht="21" customHeight="1" x14ac:dyDescent="0.25">
      <c r="A2" s="6" t="s">
        <v>11</v>
      </c>
      <c r="B2" s="93" t="str">
        <f ca="1">INDIRECT("'List of Tests'!B"&amp;(MID(CELL("filename",A1),FIND("]TC",CELL("filename",A1),1)+3,9999)+3))</f>
        <v>Add customer form</v>
      </c>
      <c r="C2" s="94"/>
      <c r="D2" s="94"/>
      <c r="E2" s="7" t="s">
        <v>25</v>
      </c>
      <c r="F2" s="7" t="str">
        <f>IF(COUNTIF($E$6:$E$990,"Failed")&gt;0,"Failed",IF(COUNTIF($E$6:$E$990,"Blocked")&gt;0,"Blocked",IF(COUNTIF($E$6:$E$990,"Not Run")&gt;0,"Not Run",IF(COUNTIF($E$6:$E$990,"Passed")&gt;0,"Passed","Not Run"))))</f>
        <v>Failed</v>
      </c>
      <c r="G2" s="4"/>
      <c r="H2" s="4"/>
      <c r="I2" s="4"/>
    </row>
    <row r="3" spans="1:10" s="5" customFormat="1" ht="27.6" x14ac:dyDescent="0.3">
      <c r="A3" s="8" t="s">
        <v>23</v>
      </c>
      <c r="B3" s="95" t="str">
        <f ca="1">INDIRECT("'List of Tests'!C"&amp;(MID(CELL("filename",A1),FIND("]TC",CELL("filename",A1),1)+3,9999)+3))</f>
        <v>Test Add customer form is functioning correctly</v>
      </c>
      <c r="C3" s="95"/>
      <c r="D3" s="96"/>
      <c r="E3" s="9"/>
      <c r="F3" s="9"/>
      <c r="G3" s="9"/>
      <c r="H3" s="9"/>
      <c r="I3" s="9"/>
    </row>
    <row r="4" spans="1:10" s="10" customFormat="1" ht="18" customHeight="1" x14ac:dyDescent="0.35">
      <c r="A4" s="84" t="s">
        <v>6</v>
      </c>
      <c r="B4" s="85"/>
      <c r="C4" s="85"/>
      <c r="D4" s="86"/>
      <c r="E4" s="87" t="s">
        <v>7</v>
      </c>
      <c r="F4" s="88"/>
      <c r="G4" s="88"/>
      <c r="H4" s="88"/>
      <c r="I4" s="89"/>
    </row>
    <row r="5" spans="1:10" s="15" customFormat="1" ht="25.5" customHeight="1" x14ac:dyDescent="0.25">
      <c r="A5" s="11" t="s">
        <v>24</v>
      </c>
      <c r="B5" s="11" t="s">
        <v>1</v>
      </c>
      <c r="C5" s="11" t="s">
        <v>0</v>
      </c>
      <c r="D5" s="12" t="s">
        <v>2</v>
      </c>
      <c r="E5" s="13" t="s">
        <v>3</v>
      </c>
      <c r="F5" s="11" t="s">
        <v>4</v>
      </c>
      <c r="G5" s="14" t="s">
        <v>19</v>
      </c>
      <c r="H5" s="11" t="s">
        <v>8</v>
      </c>
      <c r="I5" s="14" t="s">
        <v>22</v>
      </c>
    </row>
    <row r="6" spans="1:10" s="21" customFormat="1" ht="27.6" x14ac:dyDescent="0.3">
      <c r="A6" s="16">
        <f t="shared" ref="A6:A17" si="0">ROW()-5</f>
        <v>1</v>
      </c>
      <c r="B6" s="17" t="s">
        <v>44</v>
      </c>
      <c r="C6" s="18" t="s">
        <v>47</v>
      </c>
      <c r="D6" s="19" t="s">
        <v>48</v>
      </c>
      <c r="E6" s="20" t="s">
        <v>50</v>
      </c>
      <c r="F6" s="21" t="s">
        <v>51</v>
      </c>
      <c r="G6" s="22" t="s">
        <v>52</v>
      </c>
      <c r="H6" s="23" t="s">
        <v>53</v>
      </c>
      <c r="I6" s="23"/>
      <c r="J6" s="24"/>
    </row>
    <row r="7" spans="1:10" s="21" customFormat="1" ht="27.6" x14ac:dyDescent="0.3">
      <c r="A7" s="16">
        <f t="shared" si="0"/>
        <v>2</v>
      </c>
      <c r="B7" s="17" t="s">
        <v>44</v>
      </c>
      <c r="C7" s="110" t="s">
        <v>58</v>
      </c>
      <c r="D7" s="19" t="s">
        <v>54</v>
      </c>
      <c r="E7" s="20" t="s">
        <v>55</v>
      </c>
      <c r="F7" s="23" t="s">
        <v>51</v>
      </c>
      <c r="G7" s="22" t="s">
        <v>56</v>
      </c>
      <c r="H7" s="23" t="s">
        <v>53</v>
      </c>
      <c r="I7" s="23">
        <v>1</v>
      </c>
      <c r="J7" s="24"/>
    </row>
    <row r="8" spans="1:10" s="21" customFormat="1" ht="27.6" x14ac:dyDescent="0.3">
      <c r="A8" s="16">
        <f t="shared" si="0"/>
        <v>3</v>
      </c>
      <c r="B8" s="17" t="s">
        <v>44</v>
      </c>
      <c r="C8" s="110" t="s">
        <v>57</v>
      </c>
      <c r="D8" s="19" t="s">
        <v>48</v>
      </c>
      <c r="E8" s="20" t="s">
        <v>50</v>
      </c>
      <c r="F8" s="23" t="s">
        <v>51</v>
      </c>
      <c r="G8" s="22" t="s">
        <v>56</v>
      </c>
      <c r="H8" s="23" t="s">
        <v>53</v>
      </c>
      <c r="I8" s="23"/>
      <c r="J8" s="24"/>
    </row>
    <row r="9" spans="1:10" s="21" customFormat="1" ht="27.6" x14ac:dyDescent="0.25">
      <c r="A9" s="16">
        <f t="shared" si="0"/>
        <v>4</v>
      </c>
      <c r="B9" s="17" t="s">
        <v>44</v>
      </c>
      <c r="C9" s="19" t="s">
        <v>59</v>
      </c>
      <c r="D9" s="19" t="s">
        <v>54</v>
      </c>
      <c r="E9" s="20" t="s">
        <v>55</v>
      </c>
      <c r="F9" s="23" t="s">
        <v>51</v>
      </c>
      <c r="G9" s="22" t="s">
        <v>56</v>
      </c>
      <c r="H9" s="23" t="s">
        <v>53</v>
      </c>
      <c r="I9" s="23">
        <v>2</v>
      </c>
      <c r="J9" s="24"/>
    </row>
    <row r="10" spans="1:10" s="21" customFormat="1" ht="27.6" x14ac:dyDescent="0.25">
      <c r="A10" s="16">
        <f t="shared" si="0"/>
        <v>5</v>
      </c>
      <c r="B10" s="17" t="s">
        <v>44</v>
      </c>
      <c r="C10" s="23" t="s">
        <v>133</v>
      </c>
      <c r="D10" s="26" t="s">
        <v>54</v>
      </c>
      <c r="E10" s="20" t="s">
        <v>50</v>
      </c>
      <c r="F10" s="23" t="s">
        <v>60</v>
      </c>
      <c r="G10" s="22" t="s">
        <v>56</v>
      </c>
      <c r="H10" s="23" t="s">
        <v>53</v>
      </c>
      <c r="I10" s="23"/>
      <c r="J10" s="24"/>
    </row>
    <row r="11" spans="1:10" s="21" customFormat="1" ht="41.4" x14ac:dyDescent="0.3">
      <c r="A11" s="16">
        <f t="shared" si="0"/>
        <v>6</v>
      </c>
      <c r="B11" s="17" t="s">
        <v>44</v>
      </c>
      <c r="C11" s="18" t="s">
        <v>61</v>
      </c>
      <c r="D11" s="19" t="s">
        <v>54</v>
      </c>
      <c r="E11" s="20" t="s">
        <v>50</v>
      </c>
      <c r="F11" s="23" t="s">
        <v>62</v>
      </c>
      <c r="G11" s="22" t="s">
        <v>56</v>
      </c>
      <c r="H11" s="23" t="s">
        <v>53</v>
      </c>
      <c r="I11" s="23"/>
      <c r="J11" s="24"/>
    </row>
    <row r="12" spans="1:10" s="21" customFormat="1" ht="27.6" x14ac:dyDescent="0.25">
      <c r="A12" s="16">
        <f t="shared" si="0"/>
        <v>7</v>
      </c>
      <c r="B12" s="23" t="s">
        <v>63</v>
      </c>
      <c r="C12" s="23" t="s">
        <v>64</v>
      </c>
      <c r="D12" s="26" t="s">
        <v>65</v>
      </c>
      <c r="E12" s="20" t="s">
        <v>50</v>
      </c>
      <c r="F12" s="23" t="s">
        <v>66</v>
      </c>
      <c r="G12" s="22" t="s">
        <v>56</v>
      </c>
      <c r="H12" s="23" t="s">
        <v>53</v>
      </c>
      <c r="I12" s="23"/>
      <c r="J12" s="24"/>
    </row>
    <row r="13" spans="1:10" s="21" customFormat="1" ht="27.6" x14ac:dyDescent="0.25">
      <c r="A13" s="16">
        <f t="shared" si="0"/>
        <v>8</v>
      </c>
      <c r="B13" s="23" t="s">
        <v>63</v>
      </c>
      <c r="C13" s="23" t="s">
        <v>67</v>
      </c>
      <c r="D13" s="26" t="s">
        <v>54</v>
      </c>
      <c r="E13" s="20" t="s">
        <v>50</v>
      </c>
      <c r="F13" s="23" t="s">
        <v>62</v>
      </c>
      <c r="G13" s="22" t="s">
        <v>56</v>
      </c>
      <c r="H13" s="23" t="s">
        <v>53</v>
      </c>
      <c r="I13" s="23"/>
      <c r="J13" s="24"/>
    </row>
    <row r="14" spans="1:10" s="21" customFormat="1" ht="27.6" x14ac:dyDescent="0.25">
      <c r="A14" s="16">
        <f t="shared" si="0"/>
        <v>9</v>
      </c>
      <c r="B14" s="23" t="s">
        <v>63</v>
      </c>
      <c r="C14" s="23" t="s">
        <v>68</v>
      </c>
      <c r="D14" s="26" t="s">
        <v>69</v>
      </c>
      <c r="E14" s="20" t="s">
        <v>50</v>
      </c>
      <c r="F14" s="23" t="s">
        <v>70</v>
      </c>
      <c r="G14" s="22" t="s">
        <v>56</v>
      </c>
      <c r="H14" s="23" t="s">
        <v>53</v>
      </c>
      <c r="I14" s="23"/>
      <c r="J14" s="24"/>
    </row>
    <row r="15" spans="1:10" s="21" customFormat="1" ht="27.6" x14ac:dyDescent="0.25">
      <c r="A15" s="16">
        <f t="shared" si="0"/>
        <v>10</v>
      </c>
      <c r="B15" s="23" t="s">
        <v>71</v>
      </c>
      <c r="C15" s="23" t="s">
        <v>72</v>
      </c>
      <c r="D15" s="26" t="s">
        <v>73</v>
      </c>
      <c r="E15" s="20" t="s">
        <v>50</v>
      </c>
      <c r="F15" s="23" t="s">
        <v>74</v>
      </c>
      <c r="G15" s="22" t="s">
        <v>56</v>
      </c>
      <c r="H15" s="23" t="s">
        <v>53</v>
      </c>
      <c r="I15" s="23"/>
      <c r="J15" s="24"/>
    </row>
    <row r="16" spans="1:10" s="25" customFormat="1" ht="27.6" x14ac:dyDescent="0.3">
      <c r="A16" s="16">
        <f t="shared" si="0"/>
        <v>11</v>
      </c>
      <c r="B16" s="23" t="s">
        <v>71</v>
      </c>
      <c r="C16" s="23" t="s">
        <v>75</v>
      </c>
      <c r="D16" s="26" t="s">
        <v>76</v>
      </c>
      <c r="E16" s="20" t="s">
        <v>50</v>
      </c>
      <c r="F16" s="23" t="s">
        <v>77</v>
      </c>
      <c r="G16" s="22" t="s">
        <v>56</v>
      </c>
      <c r="H16" s="23" t="s">
        <v>53</v>
      </c>
      <c r="I16" s="23"/>
      <c r="J16" s="24"/>
    </row>
    <row r="17" spans="1:9" s="28" customFormat="1" ht="27.6" x14ac:dyDescent="0.3">
      <c r="A17" s="16">
        <f t="shared" si="0"/>
        <v>12</v>
      </c>
      <c r="B17" s="23" t="s">
        <v>78</v>
      </c>
      <c r="C17" s="23" t="s">
        <v>79</v>
      </c>
      <c r="D17" s="26" t="s">
        <v>80</v>
      </c>
      <c r="E17" s="20" t="s">
        <v>55</v>
      </c>
      <c r="F17" s="23" t="s">
        <v>81</v>
      </c>
      <c r="G17" s="22" t="s">
        <v>56</v>
      </c>
      <c r="H17" s="23" t="s">
        <v>53</v>
      </c>
      <c r="I17" s="23">
        <v>3</v>
      </c>
    </row>
    <row r="18" spans="1:9" s="28" customFormat="1" x14ac:dyDescent="0.3">
      <c r="A18" s="27"/>
      <c r="C18" s="27"/>
      <c r="D18" s="27"/>
    </row>
    <row r="19" spans="1:9" s="28" customFormat="1" x14ac:dyDescent="0.3">
      <c r="A19" s="27"/>
      <c r="C19" s="27"/>
      <c r="D19" s="27"/>
    </row>
    <row r="20" spans="1:9" s="28" customFormat="1" x14ac:dyDescent="0.3">
      <c r="A20" s="27"/>
      <c r="C20" s="27"/>
      <c r="D20" s="27"/>
    </row>
    <row r="21" spans="1:9" s="28" customFormat="1" x14ac:dyDescent="0.3">
      <c r="A21" s="27"/>
      <c r="C21" s="27"/>
      <c r="D21" s="27"/>
    </row>
    <row r="22" spans="1:9" s="28" customFormat="1" x14ac:dyDescent="0.3">
      <c r="A22" s="27"/>
      <c r="C22" s="27"/>
      <c r="D22" s="27"/>
    </row>
    <row r="23" spans="1:9" s="28" customFormat="1" x14ac:dyDescent="0.3">
      <c r="A23" s="27"/>
      <c r="C23" s="27"/>
      <c r="D23" s="27"/>
    </row>
    <row r="24" spans="1:9" s="28" customFormat="1" x14ac:dyDescent="0.3">
      <c r="A24" s="27"/>
      <c r="C24" s="27"/>
      <c r="D24" s="27"/>
    </row>
    <row r="25" spans="1:9" s="28" customFormat="1" x14ac:dyDescent="0.3">
      <c r="A25" s="27"/>
      <c r="C25" s="27"/>
      <c r="D25" s="27"/>
    </row>
    <row r="26" spans="1:9" s="28" customFormat="1" x14ac:dyDescent="0.3">
      <c r="A26" s="27"/>
      <c r="C26" s="27"/>
      <c r="D26" s="27"/>
    </row>
    <row r="27" spans="1:9" s="28" customFormat="1" x14ac:dyDescent="0.3">
      <c r="A27" s="27"/>
      <c r="C27" s="27"/>
      <c r="D27" s="27"/>
    </row>
    <row r="28" spans="1:9" s="28" customFormat="1" x14ac:dyDescent="0.3">
      <c r="A28" s="27"/>
      <c r="C28" s="27"/>
      <c r="D28" s="27"/>
    </row>
    <row r="29" spans="1:9" s="28" customFormat="1" x14ac:dyDescent="0.3">
      <c r="A29" s="27"/>
      <c r="C29" s="27"/>
      <c r="D29" s="27"/>
    </row>
    <row r="30" spans="1:9" s="28" customFormat="1" x14ac:dyDescent="0.3">
      <c r="A30" s="27"/>
      <c r="C30" s="27"/>
      <c r="D30" s="27"/>
    </row>
    <row r="31" spans="1:9" s="28" customFormat="1" x14ac:dyDescent="0.3">
      <c r="A31" s="27"/>
      <c r="C31" s="27"/>
      <c r="D31" s="27"/>
    </row>
    <row r="32" spans="1:9" s="28" customFormat="1" x14ac:dyDescent="0.3">
      <c r="A32" s="27"/>
      <c r="C32" s="27"/>
      <c r="D32" s="27"/>
    </row>
    <row r="33" spans="1:4" s="28" customFormat="1" x14ac:dyDescent="0.3">
      <c r="A33" s="27"/>
      <c r="C33" s="27"/>
      <c r="D33" s="27"/>
    </row>
    <row r="34" spans="1:4" s="28" customFormat="1" x14ac:dyDescent="0.3">
      <c r="A34" s="27"/>
      <c r="C34" s="27"/>
      <c r="D34" s="27"/>
    </row>
    <row r="35" spans="1:4" s="28" customFormat="1" x14ac:dyDescent="0.3">
      <c r="A35" s="27"/>
      <c r="C35" s="27"/>
      <c r="D35" s="27"/>
    </row>
    <row r="36" spans="1:4" s="28" customFormat="1" x14ac:dyDescent="0.3">
      <c r="A36" s="27"/>
      <c r="C36" s="27"/>
      <c r="D36" s="27"/>
    </row>
    <row r="37" spans="1:4" s="28" customFormat="1" x14ac:dyDescent="0.3">
      <c r="A37" s="27"/>
      <c r="C37" s="27"/>
      <c r="D37" s="27"/>
    </row>
    <row r="38" spans="1:4" s="28" customFormat="1" x14ac:dyDescent="0.3">
      <c r="A38" s="27"/>
      <c r="C38" s="27"/>
      <c r="D38" s="27"/>
    </row>
    <row r="39" spans="1:4" s="28" customFormat="1" x14ac:dyDescent="0.3">
      <c r="A39" s="27"/>
      <c r="C39" s="27"/>
      <c r="D39" s="27"/>
    </row>
    <row r="40" spans="1:4" s="28" customFormat="1" x14ac:dyDescent="0.3">
      <c r="A40" s="27"/>
      <c r="C40" s="27"/>
      <c r="D40" s="27"/>
    </row>
    <row r="41" spans="1:4" s="28" customFormat="1" x14ac:dyDescent="0.3">
      <c r="A41" s="27"/>
      <c r="C41" s="27"/>
      <c r="D41" s="27"/>
    </row>
    <row r="42" spans="1:4" s="28" customFormat="1" x14ac:dyDescent="0.3">
      <c r="A42" s="27"/>
      <c r="C42" s="27"/>
      <c r="D42" s="27"/>
    </row>
    <row r="43" spans="1:4" s="28" customFormat="1" x14ac:dyDescent="0.3">
      <c r="A43" s="27"/>
      <c r="C43" s="27"/>
      <c r="D43" s="27"/>
    </row>
    <row r="44" spans="1:4" s="28" customFormat="1" x14ac:dyDescent="0.3">
      <c r="A44" s="27"/>
      <c r="C44" s="27"/>
      <c r="D44" s="27"/>
    </row>
    <row r="45" spans="1:4" s="28" customFormat="1" x14ac:dyDescent="0.3">
      <c r="A45" s="27"/>
      <c r="C45" s="27"/>
      <c r="D45" s="27"/>
    </row>
    <row r="46" spans="1:4" s="28" customFormat="1" x14ac:dyDescent="0.3">
      <c r="A46" s="27"/>
      <c r="C46" s="27"/>
      <c r="D46" s="27"/>
    </row>
    <row r="47" spans="1:4" s="28" customFormat="1" x14ac:dyDescent="0.3">
      <c r="A47" s="27"/>
      <c r="C47" s="27"/>
      <c r="D47" s="27"/>
    </row>
    <row r="48" spans="1:4" s="28" customFormat="1" x14ac:dyDescent="0.3">
      <c r="A48" s="27"/>
      <c r="C48" s="27"/>
      <c r="D48" s="27"/>
    </row>
    <row r="49" spans="1:4" s="28" customFormat="1" x14ac:dyDescent="0.3">
      <c r="A49" s="27"/>
      <c r="C49" s="27"/>
      <c r="D49" s="27"/>
    </row>
    <row r="50" spans="1:4" s="28" customFormat="1" x14ac:dyDescent="0.3">
      <c r="A50" s="27"/>
      <c r="C50" s="27"/>
      <c r="D50" s="27"/>
    </row>
    <row r="51" spans="1:4" s="28" customFormat="1" x14ac:dyDescent="0.3">
      <c r="A51" s="27"/>
      <c r="C51" s="27"/>
      <c r="D51" s="27"/>
    </row>
    <row r="52" spans="1:4" s="28" customFormat="1" x14ac:dyDescent="0.3">
      <c r="A52" s="27"/>
      <c r="C52" s="27"/>
      <c r="D52" s="27"/>
    </row>
    <row r="53" spans="1:4" s="28" customFormat="1" x14ac:dyDescent="0.3">
      <c r="A53" s="27"/>
      <c r="C53" s="27"/>
      <c r="D53" s="27"/>
    </row>
    <row r="54" spans="1:4" s="28" customFormat="1" x14ac:dyDescent="0.3">
      <c r="A54" s="27"/>
      <c r="C54" s="27"/>
      <c r="D54" s="27"/>
    </row>
    <row r="55" spans="1:4" s="28" customFormat="1" x14ac:dyDescent="0.3">
      <c r="A55" s="27"/>
      <c r="C55" s="27"/>
      <c r="D55" s="27"/>
    </row>
    <row r="56" spans="1:4" s="28" customFormat="1" x14ac:dyDescent="0.3">
      <c r="A56" s="27"/>
      <c r="C56" s="27"/>
      <c r="D56" s="27"/>
    </row>
    <row r="57" spans="1:4" s="28" customFormat="1" x14ac:dyDescent="0.3">
      <c r="A57" s="27"/>
      <c r="C57" s="27"/>
      <c r="D57" s="27"/>
    </row>
    <row r="58" spans="1:4" s="28" customFormat="1" x14ac:dyDescent="0.3">
      <c r="A58" s="27"/>
      <c r="C58" s="27"/>
      <c r="D58" s="27"/>
    </row>
    <row r="59" spans="1:4" s="28" customFormat="1" x14ac:dyDescent="0.3">
      <c r="A59" s="27"/>
      <c r="C59" s="27"/>
      <c r="D59" s="27"/>
    </row>
    <row r="60" spans="1:4" s="28" customFormat="1" x14ac:dyDescent="0.3">
      <c r="A60" s="27"/>
      <c r="C60" s="27"/>
      <c r="D60" s="27"/>
    </row>
    <row r="61" spans="1:4" s="28" customFormat="1" x14ac:dyDescent="0.3">
      <c r="A61" s="27"/>
      <c r="C61" s="27"/>
      <c r="D61" s="27"/>
    </row>
    <row r="62" spans="1:4" s="28" customFormat="1" x14ac:dyDescent="0.3">
      <c r="A62" s="27"/>
      <c r="C62" s="27"/>
      <c r="D62" s="27"/>
    </row>
    <row r="63" spans="1:4" s="28" customFormat="1" x14ac:dyDescent="0.3">
      <c r="A63" s="27"/>
      <c r="C63" s="27"/>
      <c r="D63" s="27"/>
    </row>
    <row r="64" spans="1:4" s="28" customFormat="1" x14ac:dyDescent="0.3">
      <c r="A64" s="27"/>
      <c r="C64" s="27"/>
      <c r="D64" s="27"/>
    </row>
    <row r="65" spans="1:4" s="28" customFormat="1" x14ac:dyDescent="0.3">
      <c r="A65" s="27"/>
      <c r="C65" s="27"/>
      <c r="D65" s="27"/>
    </row>
    <row r="66" spans="1:4" s="28" customFormat="1" x14ac:dyDescent="0.3">
      <c r="A66" s="27"/>
      <c r="C66" s="27"/>
      <c r="D66" s="27"/>
    </row>
    <row r="67" spans="1:4" s="28" customFormat="1" x14ac:dyDescent="0.3">
      <c r="A67" s="27"/>
      <c r="C67" s="27"/>
      <c r="D67" s="27"/>
    </row>
    <row r="68" spans="1:4" s="28" customFormat="1" x14ac:dyDescent="0.3">
      <c r="A68" s="27"/>
      <c r="C68" s="27"/>
      <c r="D68" s="27"/>
    </row>
    <row r="69" spans="1:4" s="28" customFormat="1" x14ac:dyDescent="0.3">
      <c r="A69" s="27"/>
      <c r="C69" s="27"/>
      <c r="D69" s="27"/>
    </row>
    <row r="70" spans="1:4" s="28" customFormat="1" x14ac:dyDescent="0.3">
      <c r="A70" s="27"/>
      <c r="C70" s="27"/>
      <c r="D70" s="27"/>
    </row>
    <row r="71" spans="1:4" s="28" customFormat="1" x14ac:dyDescent="0.3">
      <c r="A71" s="27"/>
      <c r="C71" s="27"/>
      <c r="D71" s="27"/>
    </row>
    <row r="72" spans="1:4" s="28" customFormat="1" x14ac:dyDescent="0.3">
      <c r="A72" s="27"/>
      <c r="C72" s="27"/>
      <c r="D72" s="27"/>
    </row>
    <row r="73" spans="1:4" s="28" customFormat="1" x14ac:dyDescent="0.3">
      <c r="A73" s="27"/>
      <c r="C73" s="27"/>
      <c r="D73" s="27"/>
    </row>
    <row r="74" spans="1:4" s="28" customFormat="1" x14ac:dyDescent="0.3">
      <c r="A74" s="27"/>
      <c r="C74" s="27"/>
      <c r="D74" s="27"/>
    </row>
    <row r="75" spans="1:4" s="28" customFormat="1" x14ac:dyDescent="0.3">
      <c r="A75" s="27"/>
      <c r="C75" s="27"/>
      <c r="D75" s="27"/>
    </row>
    <row r="76" spans="1:4" s="28" customFormat="1" x14ac:dyDescent="0.3">
      <c r="A76" s="27"/>
      <c r="C76" s="27"/>
      <c r="D76" s="27"/>
    </row>
    <row r="77" spans="1:4" s="28" customFormat="1" x14ac:dyDescent="0.3">
      <c r="A77" s="27"/>
      <c r="C77" s="27"/>
      <c r="D77" s="27"/>
    </row>
    <row r="78" spans="1:4" s="28" customFormat="1" x14ac:dyDescent="0.3">
      <c r="A78" s="27"/>
      <c r="C78" s="27"/>
      <c r="D78" s="27"/>
    </row>
    <row r="79" spans="1:4" s="28" customFormat="1" x14ac:dyDescent="0.3">
      <c r="A79" s="27"/>
      <c r="C79" s="27"/>
      <c r="D79" s="27"/>
    </row>
    <row r="80" spans="1:4" s="28" customFormat="1" x14ac:dyDescent="0.3">
      <c r="A80" s="27"/>
      <c r="C80" s="27"/>
      <c r="D80" s="27"/>
    </row>
    <row r="81" spans="1:4" s="28" customFormat="1" x14ac:dyDescent="0.3">
      <c r="A81" s="27"/>
      <c r="C81" s="27"/>
      <c r="D81" s="27"/>
    </row>
    <row r="82" spans="1:4" s="28" customFormat="1" x14ac:dyDescent="0.3">
      <c r="A82" s="27"/>
      <c r="C82" s="27"/>
      <c r="D82" s="27"/>
    </row>
    <row r="83" spans="1:4" s="28" customFormat="1" x14ac:dyDescent="0.3">
      <c r="A83" s="27"/>
      <c r="C83" s="27"/>
      <c r="D83" s="27"/>
    </row>
    <row r="84" spans="1:4" s="28" customFormat="1" x14ac:dyDescent="0.3">
      <c r="A84" s="27"/>
      <c r="C84" s="27"/>
      <c r="D84" s="27"/>
    </row>
    <row r="85" spans="1:4" s="28" customFormat="1" x14ac:dyDescent="0.3">
      <c r="A85" s="27"/>
      <c r="C85" s="27"/>
      <c r="D85" s="27"/>
    </row>
    <row r="86" spans="1:4" s="28" customFormat="1" x14ac:dyDescent="0.3">
      <c r="A86" s="27"/>
      <c r="C86" s="27"/>
      <c r="D86" s="27"/>
    </row>
    <row r="87" spans="1:4" s="28" customFormat="1" x14ac:dyDescent="0.3">
      <c r="A87" s="27"/>
      <c r="C87" s="27"/>
      <c r="D87" s="27"/>
    </row>
    <row r="88" spans="1:4" s="28" customFormat="1" x14ac:dyDescent="0.3">
      <c r="A88" s="27"/>
      <c r="C88" s="27"/>
      <c r="D88" s="27"/>
    </row>
    <row r="89" spans="1:4" s="28" customFormat="1" x14ac:dyDescent="0.3">
      <c r="A89" s="27"/>
      <c r="C89" s="27"/>
      <c r="D89" s="27"/>
    </row>
    <row r="90" spans="1:4" s="28" customFormat="1" x14ac:dyDescent="0.3">
      <c r="A90" s="27"/>
      <c r="C90" s="27"/>
      <c r="D90" s="27"/>
    </row>
  </sheetData>
  <mergeCells count="5">
    <mergeCell ref="A4:D4"/>
    <mergeCell ref="E4:I4"/>
    <mergeCell ref="B1:D1"/>
    <mergeCell ref="B2:D2"/>
    <mergeCell ref="B3:D3"/>
  </mergeCells>
  <phoneticPr fontId="1" type="noConversion"/>
  <dataValidations count="1">
    <dataValidation type="list" allowBlank="1" showInputMessage="1" showErrorMessage="1" sqref="E6:E17" xr:uid="{00000000-0002-0000-0100-000000000000}">
      <formula1>"Passed,Failed,Not Run,Blocked"</formula1>
    </dataValidation>
  </dataValidations>
  <pageMargins left="0.23622047244094491" right="0.23622047244094491" top="0.47244094488188981" bottom="0.47244094488188981" header="0.31496062992125984" footer="0.31496062992125984"/>
  <pageSetup paperSize="9" scale="74" orientation="landscape"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J100"/>
  <sheetViews>
    <sheetView workbookViewId="0">
      <pane xSplit="3" ySplit="4" topLeftCell="E5" activePane="bottomRight" state="frozen"/>
      <selection activeCell="D8" sqref="D8"/>
      <selection pane="topRight" activeCell="D8" sqref="D8"/>
      <selection pane="bottomLeft" activeCell="D8" sqref="D8"/>
      <selection pane="bottomRight" activeCell="B6" sqref="B6:H7"/>
    </sheetView>
  </sheetViews>
  <sheetFormatPr defaultColWidth="9.109375" defaultRowHeight="13.8" x14ac:dyDescent="0.3"/>
  <cols>
    <col min="1" max="1" width="10.44140625" style="29" customWidth="1"/>
    <col min="2" max="2" width="44.33203125" style="30" customWidth="1"/>
    <col min="3" max="3" width="18.5546875" style="29" customWidth="1"/>
    <col min="4" max="4" width="16.88671875" style="29" customWidth="1"/>
    <col min="5" max="5" width="12" style="30" bestFit="1" customWidth="1"/>
    <col min="6" max="6" width="66.6640625" style="30" customWidth="1"/>
    <col min="7" max="7" width="11.109375" style="30" customWidth="1"/>
    <col min="8" max="8" width="16" style="30" customWidth="1"/>
    <col min="9" max="9" width="14.6640625" style="30" customWidth="1"/>
    <col min="10" max="16384" width="9.109375" style="30"/>
  </cols>
  <sheetData>
    <row r="1" spans="1:10" s="5" customFormat="1" ht="21" customHeight="1" thickBot="1" x14ac:dyDescent="0.3">
      <c r="A1" s="6" t="s">
        <v>12</v>
      </c>
      <c r="B1" s="90" t="str">
        <f>'List of Tests'!B2</f>
        <v>Test</v>
      </c>
      <c r="C1" s="91"/>
      <c r="D1" s="92"/>
      <c r="E1" s="4"/>
      <c r="F1" s="4"/>
      <c r="G1" s="4"/>
      <c r="H1" s="4"/>
      <c r="I1" s="4"/>
    </row>
    <row r="2" spans="1:10" s="5" customFormat="1" ht="21" customHeight="1" x14ac:dyDescent="0.25">
      <c r="A2" s="6" t="s">
        <v>11</v>
      </c>
      <c r="B2" s="93" t="str">
        <f ca="1">INDIRECT("'List of Tests'!B"&amp;(MID(CELL("filename",A1),FIND("]TC",CELL("filename",A1),1)+3,9999)+3))</f>
        <v>Add services form</v>
      </c>
      <c r="C2" s="97"/>
      <c r="D2" s="97"/>
      <c r="E2" s="7" t="s">
        <v>25</v>
      </c>
      <c r="F2" s="7" t="str">
        <f>IF(COUNTIF($E$6:$E$1000,"Failed")&gt;0,"Failed",IF(COUNTIF($E$6:$E$1000,"Blocked")&gt;0,"Blocked",IF(COUNTIF($E$6:$E$1000,"Not Run")&gt;0,"Not Run",IF(COUNTIF($E$6:$E$1000,"Passed")&gt;0,"Passed","Not Run"))))</f>
        <v>Failed</v>
      </c>
      <c r="G2" s="4"/>
      <c r="H2" s="4"/>
      <c r="I2" s="4"/>
    </row>
    <row r="3" spans="1:10" s="5" customFormat="1" x14ac:dyDescent="0.3">
      <c r="A3" s="6" t="s">
        <v>23</v>
      </c>
      <c r="B3" s="95" t="str">
        <f ca="1">INDIRECT("'List of Tests'!C"&amp;(MID(CELL("filename",A1),FIND("]TC",CELL("filename",A1),1)+3,9999)+3))</f>
        <v>Test Add sevices form is functioning correctly</v>
      </c>
      <c r="C3" s="98"/>
      <c r="D3" s="99"/>
      <c r="E3" s="9"/>
      <c r="F3" s="9"/>
      <c r="G3" s="9"/>
      <c r="H3" s="9"/>
      <c r="I3" s="9"/>
    </row>
    <row r="4" spans="1:10" s="10" customFormat="1" ht="18" customHeight="1" x14ac:dyDescent="0.35">
      <c r="A4" s="84" t="s">
        <v>6</v>
      </c>
      <c r="B4" s="85"/>
      <c r="C4" s="85"/>
      <c r="D4" s="86"/>
      <c r="E4" s="87" t="s">
        <v>7</v>
      </c>
      <c r="F4" s="88"/>
      <c r="G4" s="88"/>
      <c r="H4" s="88"/>
      <c r="I4" s="89"/>
    </row>
    <row r="5" spans="1:10" s="15" customFormat="1" ht="25.5" customHeight="1" x14ac:dyDescent="0.25">
      <c r="A5" s="11" t="s">
        <v>24</v>
      </c>
      <c r="B5" s="11" t="s">
        <v>1</v>
      </c>
      <c r="C5" s="11" t="s">
        <v>0</v>
      </c>
      <c r="D5" s="12" t="s">
        <v>2</v>
      </c>
      <c r="E5" s="13" t="s">
        <v>3</v>
      </c>
      <c r="F5" s="11" t="s">
        <v>4</v>
      </c>
      <c r="G5" s="14" t="s">
        <v>19</v>
      </c>
      <c r="H5" s="11" t="s">
        <v>8</v>
      </c>
      <c r="I5" s="14" t="s">
        <v>22</v>
      </c>
    </row>
    <row r="6" spans="1:10" s="21" customFormat="1" ht="27.6" x14ac:dyDescent="0.3">
      <c r="A6" s="16">
        <f t="shared" ref="A6:A25" si="0">ROW()-5</f>
        <v>1</v>
      </c>
      <c r="B6" s="17" t="s">
        <v>85</v>
      </c>
      <c r="C6" s="18" t="s">
        <v>47</v>
      </c>
      <c r="D6" s="19" t="s">
        <v>86</v>
      </c>
      <c r="E6" s="20" t="s">
        <v>50</v>
      </c>
      <c r="F6" s="23" t="s">
        <v>87</v>
      </c>
      <c r="G6" s="22" t="s">
        <v>56</v>
      </c>
      <c r="H6" s="23" t="s">
        <v>53</v>
      </c>
      <c r="I6" s="23"/>
      <c r="J6" s="24"/>
    </row>
    <row r="7" spans="1:10" s="21" customFormat="1" ht="27.6" x14ac:dyDescent="0.3">
      <c r="A7" s="16">
        <f t="shared" si="0"/>
        <v>2</v>
      </c>
      <c r="B7" s="47" t="s">
        <v>85</v>
      </c>
      <c r="C7" s="18" t="s">
        <v>88</v>
      </c>
      <c r="D7" s="19" t="s">
        <v>54</v>
      </c>
      <c r="E7" s="20" t="s">
        <v>55</v>
      </c>
      <c r="F7" s="23" t="s">
        <v>87</v>
      </c>
      <c r="G7" s="22" t="s">
        <v>56</v>
      </c>
      <c r="H7" s="23" t="s">
        <v>53</v>
      </c>
      <c r="I7" s="23">
        <v>4</v>
      </c>
      <c r="J7" s="24"/>
    </row>
    <row r="8" spans="1:10" s="21" customFormat="1" ht="27.6" x14ac:dyDescent="0.25">
      <c r="A8" s="16">
        <f t="shared" si="0"/>
        <v>3</v>
      </c>
      <c r="B8" s="46" t="s">
        <v>85</v>
      </c>
      <c r="C8" s="17" t="s">
        <v>89</v>
      </c>
      <c r="D8" s="19" t="s">
        <v>54</v>
      </c>
      <c r="E8" s="20" t="s">
        <v>50</v>
      </c>
      <c r="F8" s="23" t="s">
        <v>90</v>
      </c>
      <c r="G8" s="22" t="s">
        <v>56</v>
      </c>
      <c r="H8" s="23" t="s">
        <v>53</v>
      </c>
      <c r="I8" s="23"/>
      <c r="J8" s="24"/>
    </row>
    <row r="9" spans="1:10" s="21" customFormat="1" ht="27.6" x14ac:dyDescent="0.3">
      <c r="A9" s="16">
        <f t="shared" si="0"/>
        <v>4</v>
      </c>
      <c r="B9" s="48" t="s">
        <v>85</v>
      </c>
      <c r="C9" s="17" t="s">
        <v>91</v>
      </c>
      <c r="D9" s="19" t="s">
        <v>54</v>
      </c>
      <c r="E9" s="20" t="s">
        <v>50</v>
      </c>
      <c r="F9" s="23" t="s">
        <v>62</v>
      </c>
      <c r="G9" s="22" t="s">
        <v>56</v>
      </c>
      <c r="H9" s="23" t="s">
        <v>53</v>
      </c>
      <c r="I9" s="23"/>
      <c r="J9" s="24"/>
    </row>
    <row r="10" spans="1:10" s="21" customFormat="1" ht="41.4" x14ac:dyDescent="0.3">
      <c r="A10" s="16">
        <f t="shared" si="0"/>
        <v>5</v>
      </c>
      <c r="B10" s="48" t="s">
        <v>85</v>
      </c>
      <c r="C10" s="23" t="s">
        <v>92</v>
      </c>
      <c r="D10" s="19" t="s">
        <v>54</v>
      </c>
      <c r="E10" s="20" t="s">
        <v>50</v>
      </c>
      <c r="F10" s="23" t="s">
        <v>90</v>
      </c>
      <c r="G10" s="22" t="s">
        <v>56</v>
      </c>
      <c r="H10" s="23" t="s">
        <v>53</v>
      </c>
      <c r="I10" s="23"/>
      <c r="J10" s="24"/>
    </row>
    <row r="11" spans="1:10" s="21" customFormat="1" ht="27.6" x14ac:dyDescent="0.3">
      <c r="A11" s="16">
        <f t="shared" si="0"/>
        <v>6</v>
      </c>
      <c r="B11" s="48" t="s">
        <v>85</v>
      </c>
      <c r="C11" s="23" t="s">
        <v>93</v>
      </c>
      <c r="D11" s="19" t="s">
        <v>54</v>
      </c>
      <c r="E11" s="20" t="s">
        <v>55</v>
      </c>
      <c r="F11" s="23" t="s">
        <v>87</v>
      </c>
      <c r="G11" s="22" t="s">
        <v>56</v>
      </c>
      <c r="H11" s="23" t="s">
        <v>53</v>
      </c>
      <c r="I11" s="23">
        <v>5</v>
      </c>
      <c r="J11" s="24"/>
    </row>
    <row r="12" spans="1:10" s="21" customFormat="1" ht="27.6" x14ac:dyDescent="0.3">
      <c r="A12" s="16">
        <f t="shared" si="0"/>
        <v>7</v>
      </c>
      <c r="B12" s="48" t="s">
        <v>94</v>
      </c>
      <c r="C12" s="23" t="s">
        <v>64</v>
      </c>
      <c r="D12" s="19" t="s">
        <v>101</v>
      </c>
      <c r="E12" s="20" t="s">
        <v>50</v>
      </c>
      <c r="F12" s="23" t="s">
        <v>66</v>
      </c>
      <c r="G12" s="22" t="s">
        <v>56</v>
      </c>
      <c r="H12" s="23" t="s">
        <v>53</v>
      </c>
      <c r="I12" s="23"/>
      <c r="J12" s="24"/>
    </row>
    <row r="13" spans="1:10" s="21" customFormat="1" ht="27.6" x14ac:dyDescent="0.3">
      <c r="A13" s="16">
        <f t="shared" si="0"/>
        <v>8</v>
      </c>
      <c r="B13" s="48" t="s">
        <v>94</v>
      </c>
      <c r="C13" s="23" t="s">
        <v>95</v>
      </c>
      <c r="D13" s="19" t="s">
        <v>54</v>
      </c>
      <c r="E13" s="20" t="s">
        <v>50</v>
      </c>
      <c r="F13" s="23" t="s">
        <v>62</v>
      </c>
      <c r="G13" s="22" t="s">
        <v>56</v>
      </c>
      <c r="H13" s="23" t="s">
        <v>53</v>
      </c>
      <c r="I13" s="23"/>
      <c r="J13" s="24"/>
    </row>
    <row r="14" spans="1:10" s="21" customFormat="1" ht="27.6" x14ac:dyDescent="0.3">
      <c r="A14" s="16">
        <f t="shared" si="0"/>
        <v>9</v>
      </c>
      <c r="B14" s="48" t="s">
        <v>94</v>
      </c>
      <c r="C14" s="23" t="s">
        <v>68</v>
      </c>
      <c r="D14" s="19" t="s">
        <v>103</v>
      </c>
      <c r="E14" s="20" t="s">
        <v>50</v>
      </c>
      <c r="F14" s="23" t="s">
        <v>70</v>
      </c>
      <c r="G14" s="22" t="s">
        <v>56</v>
      </c>
      <c r="H14" s="23" t="s">
        <v>53</v>
      </c>
      <c r="I14" s="23"/>
      <c r="J14" s="24"/>
    </row>
    <row r="15" spans="1:10" s="21" customFormat="1" ht="27.6" x14ac:dyDescent="0.3">
      <c r="A15" s="16">
        <f t="shared" si="0"/>
        <v>10</v>
      </c>
      <c r="B15" s="48" t="s">
        <v>96</v>
      </c>
      <c r="C15" s="23" t="s">
        <v>79</v>
      </c>
      <c r="D15" s="19" t="s">
        <v>102</v>
      </c>
      <c r="E15" s="20" t="s">
        <v>50</v>
      </c>
      <c r="F15" s="23" t="s">
        <v>97</v>
      </c>
      <c r="G15" s="22" t="s">
        <v>56</v>
      </c>
      <c r="H15" s="23" t="s">
        <v>53</v>
      </c>
      <c r="I15" s="23"/>
      <c r="J15" s="24"/>
    </row>
    <row r="16" spans="1:10" s="21" customFormat="1" ht="27.6" x14ac:dyDescent="0.3">
      <c r="A16" s="16">
        <f t="shared" si="0"/>
        <v>11</v>
      </c>
      <c r="B16" s="48" t="s">
        <v>96</v>
      </c>
      <c r="C16" s="23" t="s">
        <v>98</v>
      </c>
      <c r="D16" s="19" t="s">
        <v>104</v>
      </c>
      <c r="E16" s="20" t="s">
        <v>50</v>
      </c>
      <c r="F16" s="23" t="s">
        <v>99</v>
      </c>
      <c r="G16" s="22" t="s">
        <v>56</v>
      </c>
      <c r="H16" s="23" t="s">
        <v>53</v>
      </c>
      <c r="I16" s="23"/>
      <c r="J16" s="24"/>
    </row>
    <row r="17" spans="1:10" s="21" customFormat="1" ht="27.6" x14ac:dyDescent="0.25">
      <c r="A17" s="16">
        <f t="shared" si="0"/>
        <v>12</v>
      </c>
      <c r="B17" s="23" t="s">
        <v>96</v>
      </c>
      <c r="C17" s="23" t="s">
        <v>100</v>
      </c>
      <c r="D17" s="19" t="s">
        <v>105</v>
      </c>
      <c r="E17" s="20" t="s">
        <v>50</v>
      </c>
      <c r="F17" s="23" t="s">
        <v>106</v>
      </c>
      <c r="G17" s="22" t="s">
        <v>56</v>
      </c>
      <c r="H17" s="23" t="s">
        <v>53</v>
      </c>
      <c r="I17" s="23"/>
      <c r="J17" s="24"/>
    </row>
    <row r="18" spans="1:10" s="21" customFormat="1" ht="27.6" x14ac:dyDescent="0.25">
      <c r="A18" s="16">
        <f t="shared" si="0"/>
        <v>13</v>
      </c>
      <c r="B18" s="23" t="s">
        <v>107</v>
      </c>
      <c r="C18" s="23" t="s">
        <v>72</v>
      </c>
      <c r="D18" s="26" t="s">
        <v>73</v>
      </c>
      <c r="E18" s="20" t="s">
        <v>50</v>
      </c>
      <c r="F18" s="23" t="s">
        <v>74</v>
      </c>
      <c r="G18" s="22" t="s">
        <v>56</v>
      </c>
      <c r="H18" s="23" t="s">
        <v>53</v>
      </c>
      <c r="I18" s="23"/>
      <c r="J18" s="24"/>
    </row>
    <row r="19" spans="1:10" s="21" customFormat="1" ht="27.6" x14ac:dyDescent="0.25">
      <c r="A19" s="16">
        <f t="shared" si="0"/>
        <v>14</v>
      </c>
      <c r="B19" s="23" t="s">
        <v>107</v>
      </c>
      <c r="C19" s="23" t="s">
        <v>75</v>
      </c>
      <c r="D19" s="26" t="s">
        <v>76</v>
      </c>
      <c r="E19" s="20" t="s">
        <v>50</v>
      </c>
      <c r="F19" s="23" t="s">
        <v>77</v>
      </c>
      <c r="G19" s="22" t="s">
        <v>56</v>
      </c>
      <c r="H19" s="23" t="s">
        <v>53</v>
      </c>
      <c r="I19" s="23"/>
      <c r="J19" s="24"/>
    </row>
    <row r="20" spans="1:10" s="21" customFormat="1" x14ac:dyDescent="0.25">
      <c r="A20" s="16">
        <f t="shared" si="0"/>
        <v>15</v>
      </c>
      <c r="B20" s="23"/>
      <c r="C20" s="23"/>
      <c r="D20" s="26"/>
      <c r="E20" s="20"/>
      <c r="F20" s="23"/>
      <c r="G20" s="22"/>
      <c r="H20" s="23"/>
      <c r="I20" s="23"/>
      <c r="J20" s="24"/>
    </row>
    <row r="21" spans="1:10" s="21" customFormat="1" x14ac:dyDescent="0.25">
      <c r="A21" s="16">
        <f t="shared" si="0"/>
        <v>16</v>
      </c>
      <c r="B21" s="23"/>
      <c r="C21" s="23"/>
      <c r="D21" s="26"/>
      <c r="E21" s="20"/>
      <c r="F21" s="23"/>
      <c r="G21" s="22"/>
      <c r="H21" s="23"/>
      <c r="I21" s="23"/>
      <c r="J21" s="24"/>
    </row>
    <row r="22" spans="1:10" s="21" customFormat="1" x14ac:dyDescent="0.25">
      <c r="A22" s="16">
        <f t="shared" si="0"/>
        <v>17</v>
      </c>
      <c r="B22" s="23"/>
      <c r="C22" s="23"/>
      <c r="D22" s="26"/>
      <c r="E22" s="20"/>
      <c r="F22" s="23"/>
      <c r="G22" s="22"/>
      <c r="H22" s="23"/>
      <c r="I22" s="23"/>
      <c r="J22" s="24"/>
    </row>
    <row r="23" spans="1:10" s="21" customFormat="1" x14ac:dyDescent="0.25">
      <c r="A23" s="16">
        <f t="shared" si="0"/>
        <v>18</v>
      </c>
      <c r="B23" s="23"/>
      <c r="C23" s="23"/>
      <c r="D23" s="26"/>
      <c r="E23" s="20"/>
      <c r="F23" s="23"/>
      <c r="G23" s="22"/>
      <c r="H23" s="23"/>
      <c r="I23" s="23"/>
      <c r="J23" s="24"/>
    </row>
    <row r="24" spans="1:10" s="21" customFormat="1" x14ac:dyDescent="0.25">
      <c r="A24" s="16">
        <f t="shared" si="0"/>
        <v>19</v>
      </c>
      <c r="B24" s="23"/>
      <c r="C24" s="23"/>
      <c r="D24" s="26"/>
      <c r="E24" s="20"/>
      <c r="F24" s="23"/>
      <c r="G24" s="22"/>
      <c r="H24" s="23"/>
      <c r="I24" s="23"/>
      <c r="J24" s="24"/>
    </row>
    <row r="25" spans="1:10" s="21" customFormat="1" x14ac:dyDescent="0.25">
      <c r="A25" s="16">
        <f t="shared" si="0"/>
        <v>20</v>
      </c>
      <c r="B25" s="23"/>
      <c r="C25" s="23"/>
      <c r="D25" s="26"/>
      <c r="E25" s="20"/>
      <c r="F25" s="23"/>
      <c r="G25" s="22"/>
      <c r="H25" s="23"/>
      <c r="I25" s="23"/>
      <c r="J25" s="24"/>
    </row>
    <row r="26" spans="1:10" s="25" customFormat="1" x14ac:dyDescent="0.3">
      <c r="A26" s="24"/>
      <c r="B26" s="24"/>
      <c r="C26" s="24"/>
      <c r="D26" s="24"/>
      <c r="E26" s="24"/>
      <c r="F26" s="24"/>
      <c r="G26" s="24"/>
      <c r="H26" s="24"/>
      <c r="I26" s="24"/>
      <c r="J26" s="24"/>
    </row>
    <row r="27" spans="1:10" s="28" customFormat="1" x14ac:dyDescent="0.3">
      <c r="A27" s="27"/>
      <c r="C27" s="27"/>
      <c r="D27" s="27"/>
    </row>
    <row r="28" spans="1:10" s="28" customFormat="1" x14ac:dyDescent="0.3">
      <c r="A28" s="27"/>
      <c r="C28" s="27"/>
      <c r="D28" s="27"/>
    </row>
    <row r="29" spans="1:10" s="28" customFormat="1" x14ac:dyDescent="0.3">
      <c r="A29" s="27"/>
      <c r="C29" s="27"/>
      <c r="D29" s="27"/>
    </row>
    <row r="30" spans="1:10" s="28" customFormat="1" x14ac:dyDescent="0.3">
      <c r="A30" s="27"/>
      <c r="C30" s="27"/>
      <c r="D30" s="27"/>
    </row>
    <row r="31" spans="1:10" s="28" customFormat="1" x14ac:dyDescent="0.3">
      <c r="A31" s="27"/>
      <c r="C31" s="27"/>
      <c r="D31" s="27"/>
    </row>
    <row r="32" spans="1:10" s="28" customFormat="1" x14ac:dyDescent="0.3">
      <c r="A32" s="27"/>
      <c r="C32" s="27"/>
      <c r="D32" s="27"/>
    </row>
    <row r="33" spans="1:4" s="28" customFormat="1" x14ac:dyDescent="0.3">
      <c r="A33" s="27"/>
      <c r="C33" s="27"/>
      <c r="D33" s="27"/>
    </row>
    <row r="34" spans="1:4" s="28" customFormat="1" x14ac:dyDescent="0.3">
      <c r="A34" s="27"/>
      <c r="C34" s="27"/>
      <c r="D34" s="27"/>
    </row>
    <row r="35" spans="1:4" s="28" customFormat="1" x14ac:dyDescent="0.3">
      <c r="A35" s="27"/>
      <c r="C35" s="27"/>
      <c r="D35" s="27"/>
    </row>
    <row r="36" spans="1:4" s="28" customFormat="1" x14ac:dyDescent="0.3">
      <c r="A36" s="27"/>
      <c r="C36" s="27"/>
      <c r="D36" s="27"/>
    </row>
    <row r="37" spans="1:4" s="28" customFormat="1" x14ac:dyDescent="0.3">
      <c r="A37" s="27"/>
      <c r="C37" s="27"/>
      <c r="D37" s="27"/>
    </row>
    <row r="38" spans="1:4" s="28" customFormat="1" x14ac:dyDescent="0.3">
      <c r="A38" s="27"/>
      <c r="C38" s="27"/>
      <c r="D38" s="27"/>
    </row>
    <row r="39" spans="1:4" s="28" customFormat="1" x14ac:dyDescent="0.3">
      <c r="A39" s="27"/>
      <c r="C39" s="27"/>
      <c r="D39" s="27"/>
    </row>
    <row r="40" spans="1:4" s="28" customFormat="1" x14ac:dyDescent="0.3">
      <c r="A40" s="27"/>
      <c r="C40" s="27"/>
      <c r="D40" s="27"/>
    </row>
    <row r="41" spans="1:4" s="28" customFormat="1" x14ac:dyDescent="0.3">
      <c r="A41" s="27"/>
      <c r="C41" s="27"/>
      <c r="D41" s="27"/>
    </row>
    <row r="42" spans="1:4" s="28" customFormat="1" x14ac:dyDescent="0.3">
      <c r="A42" s="27"/>
      <c r="C42" s="27"/>
      <c r="D42" s="27"/>
    </row>
    <row r="43" spans="1:4" s="28" customFormat="1" x14ac:dyDescent="0.3">
      <c r="A43" s="27"/>
      <c r="C43" s="27"/>
      <c r="D43" s="27"/>
    </row>
    <row r="44" spans="1:4" s="28" customFormat="1" x14ac:dyDescent="0.3">
      <c r="A44" s="27"/>
      <c r="C44" s="27"/>
      <c r="D44" s="27"/>
    </row>
    <row r="45" spans="1:4" s="28" customFormat="1" x14ac:dyDescent="0.3">
      <c r="A45" s="27"/>
      <c r="C45" s="27"/>
      <c r="D45" s="27"/>
    </row>
    <row r="46" spans="1:4" s="28" customFormat="1" x14ac:dyDescent="0.3">
      <c r="A46" s="27"/>
      <c r="C46" s="27"/>
      <c r="D46" s="27"/>
    </row>
    <row r="47" spans="1:4" s="28" customFormat="1" x14ac:dyDescent="0.3">
      <c r="A47" s="27"/>
      <c r="C47" s="27"/>
      <c r="D47" s="27"/>
    </row>
    <row r="48" spans="1:4" s="28" customFormat="1" x14ac:dyDescent="0.3">
      <c r="A48" s="27"/>
      <c r="C48" s="27"/>
      <c r="D48" s="27"/>
    </row>
    <row r="49" spans="1:4" s="28" customFormat="1" x14ac:dyDescent="0.3">
      <c r="A49" s="27"/>
      <c r="C49" s="27"/>
      <c r="D49" s="27"/>
    </row>
    <row r="50" spans="1:4" s="28" customFormat="1" x14ac:dyDescent="0.3">
      <c r="A50" s="27"/>
      <c r="C50" s="27"/>
      <c r="D50" s="27"/>
    </row>
    <row r="51" spans="1:4" s="28" customFormat="1" x14ac:dyDescent="0.3">
      <c r="A51" s="27"/>
      <c r="C51" s="27"/>
      <c r="D51" s="27"/>
    </row>
    <row r="52" spans="1:4" s="28" customFormat="1" x14ac:dyDescent="0.3">
      <c r="A52" s="27"/>
      <c r="C52" s="27"/>
      <c r="D52" s="27"/>
    </row>
    <row r="53" spans="1:4" s="28" customFormat="1" x14ac:dyDescent="0.3">
      <c r="A53" s="27"/>
      <c r="C53" s="27"/>
      <c r="D53" s="27"/>
    </row>
    <row r="54" spans="1:4" s="28" customFormat="1" x14ac:dyDescent="0.3">
      <c r="A54" s="27"/>
      <c r="C54" s="27"/>
      <c r="D54" s="27"/>
    </row>
    <row r="55" spans="1:4" s="28" customFormat="1" x14ac:dyDescent="0.3">
      <c r="A55" s="27"/>
      <c r="C55" s="27"/>
      <c r="D55" s="27"/>
    </row>
    <row r="56" spans="1:4" s="28" customFormat="1" x14ac:dyDescent="0.3">
      <c r="A56" s="27"/>
      <c r="C56" s="27"/>
      <c r="D56" s="27"/>
    </row>
    <row r="57" spans="1:4" s="28" customFormat="1" x14ac:dyDescent="0.3">
      <c r="A57" s="27"/>
      <c r="C57" s="27"/>
      <c r="D57" s="27"/>
    </row>
    <row r="58" spans="1:4" s="28" customFormat="1" x14ac:dyDescent="0.3">
      <c r="A58" s="27"/>
      <c r="C58" s="27"/>
      <c r="D58" s="27"/>
    </row>
    <row r="59" spans="1:4" s="28" customFormat="1" x14ac:dyDescent="0.3">
      <c r="A59" s="27"/>
      <c r="C59" s="27"/>
      <c r="D59" s="27"/>
    </row>
    <row r="60" spans="1:4" s="28" customFormat="1" x14ac:dyDescent="0.3">
      <c r="A60" s="27"/>
      <c r="C60" s="27"/>
      <c r="D60" s="27"/>
    </row>
    <row r="61" spans="1:4" s="28" customFormat="1" x14ac:dyDescent="0.3">
      <c r="A61" s="27"/>
      <c r="C61" s="27"/>
      <c r="D61" s="27"/>
    </row>
    <row r="62" spans="1:4" s="28" customFormat="1" x14ac:dyDescent="0.3">
      <c r="A62" s="27"/>
      <c r="C62" s="27"/>
      <c r="D62" s="27"/>
    </row>
    <row r="63" spans="1:4" s="28" customFormat="1" x14ac:dyDescent="0.3">
      <c r="A63" s="27"/>
      <c r="C63" s="27"/>
      <c r="D63" s="27"/>
    </row>
    <row r="64" spans="1:4" s="28" customFormat="1" x14ac:dyDescent="0.3">
      <c r="A64" s="27"/>
      <c r="C64" s="27"/>
      <c r="D64" s="27"/>
    </row>
    <row r="65" spans="1:4" s="28" customFormat="1" x14ac:dyDescent="0.3">
      <c r="A65" s="27"/>
      <c r="C65" s="27"/>
      <c r="D65" s="27"/>
    </row>
    <row r="66" spans="1:4" s="28" customFormat="1" x14ac:dyDescent="0.3">
      <c r="A66" s="27"/>
      <c r="C66" s="27"/>
      <c r="D66" s="27"/>
    </row>
    <row r="67" spans="1:4" s="28" customFormat="1" x14ac:dyDescent="0.3">
      <c r="A67" s="27"/>
      <c r="C67" s="27"/>
      <c r="D67" s="27"/>
    </row>
    <row r="68" spans="1:4" s="28" customFormat="1" x14ac:dyDescent="0.3">
      <c r="A68" s="27"/>
      <c r="C68" s="27"/>
      <c r="D68" s="27"/>
    </row>
    <row r="69" spans="1:4" s="28" customFormat="1" x14ac:dyDescent="0.3">
      <c r="A69" s="27"/>
      <c r="C69" s="27"/>
      <c r="D69" s="27"/>
    </row>
    <row r="70" spans="1:4" s="28" customFormat="1" x14ac:dyDescent="0.3">
      <c r="A70" s="27"/>
      <c r="C70" s="27"/>
      <c r="D70" s="27"/>
    </row>
    <row r="71" spans="1:4" s="28" customFormat="1" x14ac:dyDescent="0.3">
      <c r="A71" s="27"/>
      <c r="C71" s="27"/>
      <c r="D71" s="27"/>
    </row>
    <row r="72" spans="1:4" s="28" customFormat="1" x14ac:dyDescent="0.3">
      <c r="A72" s="27"/>
      <c r="C72" s="27"/>
      <c r="D72" s="27"/>
    </row>
    <row r="73" spans="1:4" s="28" customFormat="1" x14ac:dyDescent="0.3">
      <c r="A73" s="27"/>
      <c r="C73" s="27"/>
      <c r="D73" s="27"/>
    </row>
    <row r="74" spans="1:4" s="28" customFormat="1" x14ac:dyDescent="0.3">
      <c r="A74" s="27"/>
      <c r="C74" s="27"/>
      <c r="D74" s="27"/>
    </row>
    <row r="75" spans="1:4" s="28" customFormat="1" x14ac:dyDescent="0.3">
      <c r="A75" s="27"/>
      <c r="C75" s="27"/>
      <c r="D75" s="27"/>
    </row>
    <row r="76" spans="1:4" s="28" customFormat="1" x14ac:dyDescent="0.3">
      <c r="A76" s="27"/>
      <c r="C76" s="27"/>
      <c r="D76" s="27"/>
    </row>
    <row r="77" spans="1:4" s="28" customFormat="1" x14ac:dyDescent="0.3">
      <c r="A77" s="27"/>
      <c r="C77" s="27"/>
      <c r="D77" s="27"/>
    </row>
    <row r="78" spans="1:4" s="28" customFormat="1" x14ac:dyDescent="0.3">
      <c r="A78" s="27"/>
      <c r="C78" s="27"/>
      <c r="D78" s="27"/>
    </row>
    <row r="79" spans="1:4" s="28" customFormat="1" x14ac:dyDescent="0.3">
      <c r="A79" s="27"/>
      <c r="C79" s="27"/>
      <c r="D79" s="27"/>
    </row>
    <row r="80" spans="1:4" s="28" customFormat="1" x14ac:dyDescent="0.3">
      <c r="A80" s="27"/>
      <c r="C80" s="27"/>
      <c r="D80" s="27"/>
    </row>
    <row r="81" spans="1:4" s="28" customFormat="1" x14ac:dyDescent="0.3">
      <c r="A81" s="27"/>
      <c r="C81" s="27"/>
      <c r="D81" s="27"/>
    </row>
    <row r="82" spans="1:4" s="28" customFormat="1" x14ac:dyDescent="0.3">
      <c r="A82" s="27"/>
      <c r="C82" s="27"/>
      <c r="D82" s="27"/>
    </row>
    <row r="83" spans="1:4" s="28" customFormat="1" x14ac:dyDescent="0.3">
      <c r="A83" s="27"/>
      <c r="C83" s="27"/>
      <c r="D83" s="27"/>
    </row>
    <row r="84" spans="1:4" s="28" customFormat="1" x14ac:dyDescent="0.3">
      <c r="A84" s="27"/>
      <c r="C84" s="27"/>
      <c r="D84" s="27"/>
    </row>
    <row r="85" spans="1:4" s="28" customFormat="1" x14ac:dyDescent="0.3">
      <c r="A85" s="27"/>
      <c r="C85" s="27"/>
      <c r="D85" s="27"/>
    </row>
    <row r="86" spans="1:4" s="28" customFormat="1" x14ac:dyDescent="0.3">
      <c r="A86" s="27"/>
      <c r="C86" s="27"/>
      <c r="D86" s="27"/>
    </row>
    <row r="87" spans="1:4" s="28" customFormat="1" x14ac:dyDescent="0.3">
      <c r="A87" s="27"/>
      <c r="C87" s="27"/>
      <c r="D87" s="27"/>
    </row>
    <row r="88" spans="1:4" s="28" customFormat="1" x14ac:dyDescent="0.3">
      <c r="A88" s="27"/>
      <c r="C88" s="27"/>
      <c r="D88" s="27"/>
    </row>
    <row r="89" spans="1:4" s="28" customFormat="1" x14ac:dyDescent="0.3">
      <c r="A89" s="27"/>
      <c r="C89" s="27"/>
      <c r="D89" s="27"/>
    </row>
    <row r="90" spans="1:4" s="28" customFormat="1" x14ac:dyDescent="0.3">
      <c r="A90" s="27"/>
      <c r="C90" s="27"/>
      <c r="D90" s="27"/>
    </row>
    <row r="91" spans="1:4" s="28" customFormat="1" x14ac:dyDescent="0.3">
      <c r="A91" s="27"/>
      <c r="C91" s="27"/>
      <c r="D91" s="27"/>
    </row>
    <row r="92" spans="1:4" s="28" customFormat="1" x14ac:dyDescent="0.3">
      <c r="A92" s="27"/>
      <c r="C92" s="27"/>
      <c r="D92" s="27"/>
    </row>
    <row r="93" spans="1:4" s="28" customFormat="1" x14ac:dyDescent="0.3">
      <c r="A93" s="27"/>
      <c r="C93" s="27"/>
      <c r="D93" s="27"/>
    </row>
    <row r="94" spans="1:4" s="28" customFormat="1" x14ac:dyDescent="0.3">
      <c r="A94" s="27"/>
      <c r="C94" s="27"/>
      <c r="D94" s="27"/>
    </row>
    <row r="95" spans="1:4" s="28" customFormat="1" x14ac:dyDescent="0.3">
      <c r="A95" s="27"/>
      <c r="C95" s="27"/>
      <c r="D95" s="27"/>
    </row>
    <row r="96" spans="1:4" s="28" customFormat="1" x14ac:dyDescent="0.3">
      <c r="A96" s="27"/>
      <c r="C96" s="27"/>
      <c r="D96" s="27"/>
    </row>
    <row r="97" spans="1:4" s="28" customFormat="1" x14ac:dyDescent="0.3">
      <c r="A97" s="27"/>
      <c r="C97" s="27"/>
      <c r="D97" s="27"/>
    </row>
    <row r="98" spans="1:4" s="28" customFormat="1" x14ac:dyDescent="0.3">
      <c r="A98" s="27"/>
      <c r="C98" s="27"/>
      <c r="D98" s="27"/>
    </row>
    <row r="99" spans="1:4" s="28" customFormat="1" x14ac:dyDescent="0.3">
      <c r="A99" s="27"/>
      <c r="C99" s="27"/>
      <c r="D99" s="27"/>
    </row>
    <row r="100" spans="1:4" s="28" customFormat="1" x14ac:dyDescent="0.3">
      <c r="A100" s="27"/>
      <c r="C100" s="27"/>
      <c r="D100" s="27"/>
    </row>
  </sheetData>
  <mergeCells count="5">
    <mergeCell ref="A4:D4"/>
    <mergeCell ref="E4:I4"/>
    <mergeCell ref="B1:D1"/>
    <mergeCell ref="B2:D2"/>
    <mergeCell ref="B3:D3"/>
  </mergeCells>
  <phoneticPr fontId="1" type="noConversion"/>
  <dataValidations count="1">
    <dataValidation type="list" allowBlank="1" showInputMessage="1" showErrorMessage="1" sqref="E6:E25" xr:uid="{00000000-0002-0000-0200-000000000000}">
      <formula1>"Passed,Failed,Not Run,Blocked"</formula1>
    </dataValidation>
  </dataValidations>
  <pageMargins left="0.23622047244094491" right="0.23622047244094491" top="0.47244094488188981" bottom="0.47244094488188981" header="0.31496062992125984" footer="0.31496062992125984"/>
  <pageSetup paperSize="9" scale="74" orientation="landscape"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1:J100"/>
  <sheetViews>
    <sheetView workbookViewId="0">
      <pane xSplit="3" ySplit="4" topLeftCell="D8" activePane="bottomRight" state="frozen"/>
      <selection activeCell="D8" sqref="D8"/>
      <selection pane="topRight" activeCell="D8" sqref="D8"/>
      <selection pane="bottomLeft" activeCell="D8" sqref="D8"/>
      <selection pane="bottomRight" activeCell="K6" sqref="K6"/>
    </sheetView>
  </sheetViews>
  <sheetFormatPr defaultColWidth="9.109375" defaultRowHeight="13.8" x14ac:dyDescent="0.3"/>
  <cols>
    <col min="1" max="1" width="10.44140625" style="29" customWidth="1"/>
    <col min="2" max="2" width="37.109375" style="30" customWidth="1"/>
    <col min="3" max="3" width="18.5546875" style="29" customWidth="1"/>
    <col min="4" max="4" width="20.5546875" style="29" bestFit="1" customWidth="1"/>
    <col min="5" max="5" width="12" style="30" bestFit="1" customWidth="1"/>
    <col min="6" max="6" width="50.33203125" style="30" customWidth="1"/>
    <col min="7" max="7" width="11.109375" style="30" customWidth="1"/>
    <col min="8" max="8" width="16" style="30" customWidth="1"/>
    <col min="9" max="9" width="14.6640625" style="30" customWidth="1"/>
    <col min="10" max="16384" width="9.109375" style="30"/>
  </cols>
  <sheetData>
    <row r="1" spans="1:10" s="5" customFormat="1" ht="21" customHeight="1" thickBot="1" x14ac:dyDescent="0.3">
      <c r="A1" s="6" t="s">
        <v>12</v>
      </c>
      <c r="B1" s="90" t="str">
        <f>'List of Tests'!B2</f>
        <v>Test</v>
      </c>
      <c r="C1" s="91"/>
      <c r="D1" s="92"/>
      <c r="E1" s="4"/>
      <c r="F1" s="4"/>
      <c r="G1" s="4"/>
      <c r="H1" s="4"/>
      <c r="I1" s="4"/>
    </row>
    <row r="2" spans="1:10" s="5" customFormat="1" ht="21" customHeight="1" x14ac:dyDescent="0.25">
      <c r="A2" s="6" t="s">
        <v>11</v>
      </c>
      <c r="B2" s="93" t="str">
        <f ca="1">INDIRECT("'List of Tests'!B"&amp;(MID(CELL("filename",A1),FIND("]TC",CELL("filename",A1),1)+3,9999)+3))</f>
        <v>Add category form</v>
      </c>
      <c r="C2" s="97"/>
      <c r="D2" s="97"/>
      <c r="E2" s="7" t="s">
        <v>25</v>
      </c>
      <c r="F2" s="7" t="str">
        <f>IF(COUNTIF($E$6:$E$1000,"Failed")&gt;0,"Failed",IF(COUNTIF($E$6:$E$1000,"Blocked")&gt;0,"Blocked",IF(COUNTIF($E$6:$E$1000,"Not Run")&gt;0,"Not Run",IF(COUNTIF($E$6:$E$1000,"Passed")&gt;0,"Passed","Not Run"))))</f>
        <v>Failed</v>
      </c>
      <c r="G2" s="4"/>
      <c r="H2" s="4"/>
      <c r="I2" s="4"/>
    </row>
    <row r="3" spans="1:10" s="5" customFormat="1" x14ac:dyDescent="0.3">
      <c r="A3" s="6" t="s">
        <v>23</v>
      </c>
      <c r="B3" s="95" t="str">
        <f ca="1">INDIRECT("'List of Tests'!C"&amp;(MID(CELL("filename",A1),FIND("]TC",CELL("filename",A1),1)+3,9999)+3))</f>
        <v>Test add category form is functioning correctly</v>
      </c>
      <c r="C3" s="98"/>
      <c r="D3" s="99"/>
      <c r="E3" s="9"/>
      <c r="F3" s="9"/>
      <c r="G3" s="9"/>
      <c r="H3" s="9"/>
      <c r="I3" s="9"/>
    </row>
    <row r="4" spans="1:10" s="10" customFormat="1" ht="18" customHeight="1" x14ac:dyDescent="0.35">
      <c r="A4" s="84" t="s">
        <v>6</v>
      </c>
      <c r="B4" s="85"/>
      <c r="C4" s="85"/>
      <c r="D4" s="86"/>
      <c r="E4" s="87" t="s">
        <v>7</v>
      </c>
      <c r="F4" s="88"/>
      <c r="G4" s="88"/>
      <c r="H4" s="88"/>
      <c r="I4" s="89"/>
    </row>
    <row r="5" spans="1:10" s="15" customFormat="1" ht="27.6" x14ac:dyDescent="0.25">
      <c r="A5" s="11" t="s">
        <v>24</v>
      </c>
      <c r="B5" s="11" t="s">
        <v>1</v>
      </c>
      <c r="C5" s="11" t="s">
        <v>0</v>
      </c>
      <c r="D5" s="12" t="s">
        <v>2</v>
      </c>
      <c r="E5" s="13" t="s">
        <v>3</v>
      </c>
      <c r="F5" s="11" t="s">
        <v>4</v>
      </c>
      <c r="G5" s="14" t="s">
        <v>19</v>
      </c>
      <c r="H5" s="11" t="s">
        <v>8</v>
      </c>
      <c r="I5" s="14" t="s">
        <v>22</v>
      </c>
    </row>
    <row r="6" spans="1:10" s="21" customFormat="1" ht="27.6" x14ac:dyDescent="0.3">
      <c r="A6" s="16">
        <f t="shared" ref="A6:A33" si="0">ROW()-5</f>
        <v>1</v>
      </c>
      <c r="B6" s="17" t="s">
        <v>110</v>
      </c>
      <c r="C6" s="18" t="s">
        <v>47</v>
      </c>
      <c r="D6" s="19" t="s">
        <v>111</v>
      </c>
      <c r="E6" s="20" t="s">
        <v>50</v>
      </c>
      <c r="F6" s="23" t="s">
        <v>87</v>
      </c>
      <c r="G6" s="22" t="s">
        <v>56</v>
      </c>
      <c r="H6" s="23" t="s">
        <v>53</v>
      </c>
      <c r="I6" s="23"/>
      <c r="J6" s="24"/>
    </row>
    <row r="7" spans="1:10" s="21" customFormat="1" ht="27.6" x14ac:dyDescent="0.3">
      <c r="A7" s="16">
        <f t="shared" si="0"/>
        <v>2</v>
      </c>
      <c r="B7" s="47" t="s">
        <v>110</v>
      </c>
      <c r="C7" s="18" t="s">
        <v>112</v>
      </c>
      <c r="D7" s="19" t="s">
        <v>54</v>
      </c>
      <c r="E7" s="20" t="s">
        <v>55</v>
      </c>
      <c r="F7" s="23" t="s">
        <v>87</v>
      </c>
      <c r="G7" s="22" t="s">
        <v>56</v>
      </c>
      <c r="H7" s="23" t="s">
        <v>53</v>
      </c>
      <c r="I7" s="23">
        <v>5</v>
      </c>
      <c r="J7" s="24"/>
    </row>
    <row r="8" spans="1:10" s="21" customFormat="1" ht="27.6" x14ac:dyDescent="0.3">
      <c r="A8" s="16">
        <f t="shared" si="0"/>
        <v>3</v>
      </c>
      <c r="B8" s="47" t="s">
        <v>110</v>
      </c>
      <c r="C8" s="18" t="s">
        <v>113</v>
      </c>
      <c r="D8" s="19" t="s">
        <v>111</v>
      </c>
      <c r="E8" s="20" t="s">
        <v>50</v>
      </c>
      <c r="F8" s="23" t="s">
        <v>87</v>
      </c>
      <c r="G8" s="22" t="s">
        <v>56</v>
      </c>
      <c r="H8" s="23" t="s">
        <v>53</v>
      </c>
      <c r="I8" s="23"/>
      <c r="J8" s="24"/>
    </row>
    <row r="9" spans="1:10" s="21" customFormat="1" ht="27.6" x14ac:dyDescent="0.3">
      <c r="A9" s="16">
        <f t="shared" si="0"/>
        <v>4</v>
      </c>
      <c r="B9" s="47" t="s">
        <v>110</v>
      </c>
      <c r="C9" s="18" t="s">
        <v>114</v>
      </c>
      <c r="D9" s="19" t="s">
        <v>54</v>
      </c>
      <c r="E9" s="20" t="s">
        <v>50</v>
      </c>
      <c r="F9" s="23" t="s">
        <v>115</v>
      </c>
      <c r="G9" s="22" t="s">
        <v>56</v>
      </c>
      <c r="H9" s="23" t="s">
        <v>53</v>
      </c>
      <c r="I9" s="23"/>
      <c r="J9" s="24"/>
    </row>
    <row r="10" spans="1:10" s="21" customFormat="1" ht="27.6" x14ac:dyDescent="0.3">
      <c r="A10" s="16">
        <f t="shared" si="0"/>
        <v>5</v>
      </c>
      <c r="B10" s="17" t="s">
        <v>96</v>
      </c>
      <c r="C10" s="18" t="s">
        <v>116</v>
      </c>
      <c r="D10" s="19" t="s">
        <v>102</v>
      </c>
      <c r="E10" s="20" t="s">
        <v>50</v>
      </c>
      <c r="F10" s="23" t="s">
        <v>117</v>
      </c>
      <c r="G10" s="22" t="s">
        <v>56</v>
      </c>
      <c r="H10" s="23" t="s">
        <v>53</v>
      </c>
      <c r="I10" s="23"/>
      <c r="J10" s="24"/>
    </row>
    <row r="11" spans="1:10" s="21" customFormat="1" ht="27.6" x14ac:dyDescent="0.3">
      <c r="A11" s="16">
        <f t="shared" si="0"/>
        <v>6</v>
      </c>
      <c r="B11" s="17" t="s">
        <v>118</v>
      </c>
      <c r="C11" s="18"/>
      <c r="D11" s="19" t="s">
        <v>101</v>
      </c>
      <c r="E11" s="20" t="s">
        <v>50</v>
      </c>
      <c r="F11" s="23" t="s">
        <v>119</v>
      </c>
      <c r="G11" s="22" t="s">
        <v>56</v>
      </c>
      <c r="H11" s="23" t="s">
        <v>53</v>
      </c>
      <c r="I11" s="23"/>
      <c r="J11" s="24"/>
    </row>
    <row r="12" spans="1:10" s="21" customFormat="1" ht="27.6" x14ac:dyDescent="0.3">
      <c r="A12" s="16">
        <f t="shared" si="0"/>
        <v>7</v>
      </c>
      <c r="B12" s="17" t="s">
        <v>120</v>
      </c>
      <c r="C12" s="18"/>
      <c r="D12" s="19" t="s">
        <v>73</v>
      </c>
      <c r="E12" s="20" t="s">
        <v>50</v>
      </c>
      <c r="F12" s="23" t="s">
        <v>74</v>
      </c>
      <c r="G12" s="22" t="s">
        <v>56</v>
      </c>
      <c r="H12" s="23" t="s">
        <v>53</v>
      </c>
      <c r="I12" s="23"/>
      <c r="J12" s="24"/>
    </row>
    <row r="13" spans="1:10" s="21" customFormat="1" x14ac:dyDescent="0.25">
      <c r="A13" s="16">
        <f t="shared" si="0"/>
        <v>8</v>
      </c>
      <c r="B13" s="17"/>
      <c r="C13" s="17"/>
      <c r="D13" s="19"/>
      <c r="E13" s="20"/>
      <c r="F13" s="23"/>
      <c r="G13" s="22"/>
      <c r="H13" s="23"/>
      <c r="I13" s="23"/>
      <c r="J13" s="24"/>
    </row>
    <row r="14" spans="1:10" s="21" customFormat="1" x14ac:dyDescent="0.25">
      <c r="A14" s="16">
        <f t="shared" si="0"/>
        <v>9</v>
      </c>
      <c r="B14" s="17"/>
      <c r="C14" s="17"/>
      <c r="D14" s="19"/>
      <c r="E14" s="20"/>
      <c r="F14" s="23"/>
      <c r="G14" s="22"/>
      <c r="H14" s="23"/>
      <c r="I14" s="23"/>
      <c r="J14" s="24"/>
    </row>
    <row r="15" spans="1:10" s="21" customFormat="1" x14ac:dyDescent="0.25">
      <c r="A15" s="16">
        <f t="shared" si="0"/>
        <v>10</v>
      </c>
      <c r="B15" s="17"/>
      <c r="C15" s="23"/>
      <c r="D15" s="19"/>
      <c r="E15" s="20"/>
      <c r="F15" s="23"/>
      <c r="G15" s="22"/>
      <c r="H15" s="23"/>
      <c r="I15" s="23"/>
      <c r="J15" s="24"/>
    </row>
    <row r="16" spans="1:10" s="21" customFormat="1" x14ac:dyDescent="0.25">
      <c r="A16" s="16">
        <f t="shared" si="0"/>
        <v>11</v>
      </c>
      <c r="B16" s="17"/>
      <c r="C16" s="23"/>
      <c r="D16" s="19"/>
      <c r="E16" s="20"/>
      <c r="F16" s="23"/>
      <c r="G16" s="22"/>
      <c r="H16" s="23"/>
      <c r="I16" s="23"/>
      <c r="J16" s="24"/>
    </row>
    <row r="17" spans="1:10" s="21" customFormat="1" x14ac:dyDescent="0.3">
      <c r="A17" s="16">
        <f t="shared" si="0"/>
        <v>12</v>
      </c>
      <c r="B17" s="25"/>
      <c r="C17" s="18"/>
      <c r="D17" s="19"/>
      <c r="E17" s="20"/>
      <c r="F17" s="23"/>
      <c r="G17" s="22"/>
      <c r="H17" s="23"/>
      <c r="I17" s="23"/>
      <c r="J17" s="24"/>
    </row>
    <row r="18" spans="1:10" s="21" customFormat="1" x14ac:dyDescent="0.25">
      <c r="A18" s="16">
        <f t="shared" si="0"/>
        <v>13</v>
      </c>
      <c r="B18" s="23"/>
      <c r="C18" s="23"/>
      <c r="D18" s="19"/>
      <c r="E18" s="20"/>
      <c r="F18" s="23"/>
      <c r="G18" s="22"/>
      <c r="H18" s="23"/>
      <c r="I18" s="23"/>
      <c r="J18" s="24"/>
    </row>
    <row r="19" spans="1:10" s="21" customFormat="1" x14ac:dyDescent="0.25">
      <c r="A19" s="16">
        <f t="shared" si="0"/>
        <v>14</v>
      </c>
      <c r="B19" s="23"/>
      <c r="C19" s="23"/>
      <c r="D19" s="19"/>
      <c r="E19" s="20"/>
      <c r="F19" s="23"/>
      <c r="G19" s="22"/>
      <c r="H19" s="23"/>
      <c r="I19" s="23"/>
      <c r="J19" s="24"/>
    </row>
    <row r="20" spans="1:10" s="21" customFormat="1" x14ac:dyDescent="0.25">
      <c r="A20" s="16">
        <f t="shared" si="0"/>
        <v>15</v>
      </c>
      <c r="B20" s="23"/>
      <c r="C20" s="23"/>
      <c r="D20" s="26"/>
      <c r="E20" s="20"/>
      <c r="F20" s="23"/>
      <c r="G20" s="22"/>
      <c r="H20" s="23"/>
      <c r="I20" s="23"/>
      <c r="J20" s="24"/>
    </row>
    <row r="21" spans="1:10" s="21" customFormat="1" x14ac:dyDescent="0.25">
      <c r="A21" s="16">
        <f t="shared" si="0"/>
        <v>16</v>
      </c>
      <c r="B21" s="23"/>
      <c r="C21" s="23"/>
      <c r="D21" s="26"/>
      <c r="E21" s="20"/>
      <c r="F21" s="23"/>
      <c r="G21" s="22"/>
      <c r="H21" s="23"/>
      <c r="I21" s="23"/>
      <c r="J21" s="24"/>
    </row>
    <row r="22" spans="1:10" s="21" customFormat="1" x14ac:dyDescent="0.25">
      <c r="A22" s="16">
        <f t="shared" si="0"/>
        <v>17</v>
      </c>
      <c r="B22" s="23"/>
      <c r="C22" s="23"/>
      <c r="D22" s="26"/>
      <c r="E22" s="20"/>
      <c r="F22" s="23"/>
      <c r="G22" s="22"/>
      <c r="H22" s="23"/>
      <c r="I22" s="23"/>
      <c r="J22" s="24"/>
    </row>
    <row r="23" spans="1:10" s="21" customFormat="1" x14ac:dyDescent="0.25">
      <c r="A23" s="16">
        <f t="shared" si="0"/>
        <v>18</v>
      </c>
      <c r="B23" s="23"/>
      <c r="C23" s="23"/>
      <c r="D23" s="26"/>
      <c r="E23" s="20"/>
      <c r="F23" s="23"/>
      <c r="G23" s="22"/>
      <c r="H23" s="23"/>
      <c r="I23" s="23"/>
      <c r="J23" s="24"/>
    </row>
    <row r="24" spans="1:10" s="21" customFormat="1" x14ac:dyDescent="0.25">
      <c r="A24" s="16">
        <f t="shared" si="0"/>
        <v>19</v>
      </c>
      <c r="B24" s="46"/>
      <c r="C24" s="23"/>
      <c r="D24" s="26"/>
      <c r="E24" s="20"/>
      <c r="F24" s="23"/>
      <c r="G24" s="22"/>
      <c r="H24" s="23"/>
      <c r="I24" s="23"/>
      <c r="J24" s="24"/>
    </row>
    <row r="25" spans="1:10" s="21" customFormat="1" x14ac:dyDescent="0.3">
      <c r="A25" s="16">
        <f t="shared" si="0"/>
        <v>20</v>
      </c>
      <c r="B25" s="47"/>
      <c r="C25" s="23"/>
      <c r="D25" s="26"/>
      <c r="E25" s="20"/>
      <c r="F25" s="23"/>
      <c r="G25" s="22"/>
      <c r="H25" s="23"/>
      <c r="I25" s="23"/>
      <c r="J25" s="24"/>
    </row>
    <row r="26" spans="1:10" s="25" customFormat="1" x14ac:dyDescent="0.3">
      <c r="A26" s="16">
        <f t="shared" si="0"/>
        <v>21</v>
      </c>
      <c r="B26" s="46"/>
      <c r="C26" s="23"/>
      <c r="D26" s="26"/>
      <c r="E26" s="20"/>
      <c r="F26" s="23"/>
      <c r="G26" s="22"/>
      <c r="H26" s="23"/>
      <c r="I26" s="23"/>
      <c r="J26" s="24"/>
    </row>
    <row r="27" spans="1:10" s="28" customFormat="1" x14ac:dyDescent="0.3">
      <c r="A27" s="16">
        <f t="shared" si="0"/>
        <v>22</v>
      </c>
      <c r="B27" s="47"/>
      <c r="C27" s="23"/>
      <c r="D27" s="26"/>
      <c r="E27" s="20"/>
      <c r="F27" s="23"/>
      <c r="G27" s="22"/>
      <c r="H27" s="23"/>
      <c r="I27" s="23"/>
    </row>
    <row r="28" spans="1:10" s="28" customFormat="1" x14ac:dyDescent="0.3">
      <c r="A28" s="16">
        <f t="shared" si="0"/>
        <v>23</v>
      </c>
      <c r="B28" s="46"/>
      <c r="C28" s="23"/>
      <c r="D28" s="26"/>
      <c r="E28" s="20"/>
      <c r="F28" s="23"/>
      <c r="G28" s="22"/>
      <c r="H28" s="23"/>
      <c r="I28" s="23"/>
    </row>
    <row r="29" spans="1:10" s="28" customFormat="1" x14ac:dyDescent="0.3">
      <c r="A29" s="16">
        <f t="shared" si="0"/>
        <v>24</v>
      </c>
      <c r="B29" s="47"/>
      <c r="C29" s="23"/>
      <c r="D29" s="26"/>
      <c r="E29" s="20"/>
      <c r="F29" s="23"/>
      <c r="G29" s="22"/>
      <c r="H29" s="23"/>
      <c r="I29" s="23"/>
    </row>
    <row r="30" spans="1:10" s="28" customFormat="1" x14ac:dyDescent="0.3">
      <c r="A30" s="16">
        <f t="shared" si="0"/>
        <v>25</v>
      </c>
      <c r="B30" s="48"/>
      <c r="C30" s="23"/>
      <c r="D30" s="26"/>
      <c r="E30" s="20"/>
      <c r="F30" s="23"/>
      <c r="G30" s="22"/>
      <c r="H30" s="23"/>
      <c r="I30" s="23"/>
    </row>
    <row r="31" spans="1:10" s="28" customFormat="1" x14ac:dyDescent="0.3">
      <c r="A31" s="16">
        <f t="shared" si="0"/>
        <v>26</v>
      </c>
      <c r="B31" s="23"/>
      <c r="C31" s="23"/>
      <c r="D31" s="26"/>
      <c r="E31" s="20"/>
      <c r="F31" s="23"/>
      <c r="G31" s="22"/>
      <c r="H31" s="23"/>
      <c r="I31" s="23"/>
    </row>
    <row r="32" spans="1:10" s="28" customFormat="1" x14ac:dyDescent="0.3">
      <c r="A32" s="16">
        <f t="shared" si="0"/>
        <v>27</v>
      </c>
      <c r="B32" s="48"/>
      <c r="C32" s="23"/>
      <c r="D32" s="26"/>
      <c r="E32" s="20"/>
      <c r="F32" s="23"/>
      <c r="G32" s="22"/>
      <c r="H32" s="23"/>
      <c r="I32" s="23"/>
    </row>
    <row r="33" spans="1:9" s="28" customFormat="1" x14ac:dyDescent="0.3">
      <c r="A33" s="16">
        <f t="shared" si="0"/>
        <v>28</v>
      </c>
      <c r="B33" s="48"/>
      <c r="C33" s="23"/>
      <c r="D33" s="26"/>
      <c r="E33" s="20"/>
      <c r="F33" s="23"/>
      <c r="G33" s="22"/>
      <c r="H33" s="23"/>
      <c r="I33" s="23"/>
    </row>
    <row r="34" spans="1:9" s="28" customFormat="1" x14ac:dyDescent="0.3">
      <c r="A34" s="27"/>
      <c r="C34" s="27"/>
      <c r="D34" s="27"/>
    </row>
    <row r="35" spans="1:9" s="28" customFormat="1" x14ac:dyDescent="0.3">
      <c r="A35" s="27"/>
      <c r="C35" s="27"/>
      <c r="D35" s="27"/>
    </row>
    <row r="36" spans="1:9" s="28" customFormat="1" x14ac:dyDescent="0.3">
      <c r="A36" s="27"/>
      <c r="C36" s="27"/>
      <c r="D36" s="27"/>
    </row>
    <row r="37" spans="1:9" s="28" customFormat="1" x14ac:dyDescent="0.3">
      <c r="A37" s="27"/>
      <c r="C37" s="27"/>
      <c r="D37" s="27"/>
    </row>
    <row r="38" spans="1:9" s="28" customFormat="1" x14ac:dyDescent="0.3">
      <c r="A38" s="27"/>
      <c r="C38" s="27"/>
      <c r="D38" s="27"/>
    </row>
    <row r="39" spans="1:9" s="28" customFormat="1" x14ac:dyDescent="0.3">
      <c r="A39" s="27"/>
      <c r="C39" s="27"/>
      <c r="D39" s="27"/>
    </row>
    <row r="40" spans="1:9" s="28" customFormat="1" x14ac:dyDescent="0.3">
      <c r="A40" s="27"/>
      <c r="C40" s="27"/>
      <c r="D40" s="27"/>
    </row>
    <row r="41" spans="1:9" s="28" customFormat="1" x14ac:dyDescent="0.3">
      <c r="A41" s="27"/>
      <c r="C41" s="27"/>
      <c r="D41" s="27"/>
    </row>
    <row r="42" spans="1:9" s="28" customFormat="1" x14ac:dyDescent="0.3">
      <c r="A42" s="27"/>
      <c r="C42" s="27"/>
      <c r="D42" s="27"/>
    </row>
    <row r="43" spans="1:9" s="28" customFormat="1" x14ac:dyDescent="0.3">
      <c r="A43" s="27"/>
      <c r="C43" s="27"/>
      <c r="D43" s="27"/>
    </row>
    <row r="44" spans="1:9" s="28" customFormat="1" x14ac:dyDescent="0.3">
      <c r="A44" s="27"/>
      <c r="C44" s="27"/>
      <c r="D44" s="27"/>
    </row>
    <row r="45" spans="1:9" s="28" customFormat="1" x14ac:dyDescent="0.3">
      <c r="A45" s="27"/>
      <c r="C45" s="27"/>
      <c r="D45" s="27"/>
    </row>
    <row r="46" spans="1:9" s="28" customFormat="1" x14ac:dyDescent="0.3">
      <c r="A46" s="27"/>
      <c r="C46" s="27"/>
      <c r="D46" s="27"/>
    </row>
    <row r="47" spans="1:9" s="28" customFormat="1" x14ac:dyDescent="0.3">
      <c r="A47" s="27"/>
      <c r="C47" s="27"/>
      <c r="D47" s="27"/>
    </row>
    <row r="48" spans="1:9" s="28" customFormat="1" x14ac:dyDescent="0.3">
      <c r="A48" s="27"/>
      <c r="C48" s="27"/>
      <c r="D48" s="27"/>
    </row>
    <row r="49" spans="1:4" s="28" customFormat="1" x14ac:dyDescent="0.3">
      <c r="A49" s="27"/>
      <c r="C49" s="27"/>
      <c r="D49" s="27"/>
    </row>
    <row r="50" spans="1:4" s="28" customFormat="1" x14ac:dyDescent="0.3">
      <c r="A50" s="27"/>
      <c r="C50" s="27"/>
      <c r="D50" s="27"/>
    </row>
    <row r="51" spans="1:4" s="28" customFormat="1" x14ac:dyDescent="0.3">
      <c r="A51" s="27"/>
      <c r="C51" s="27"/>
      <c r="D51" s="27"/>
    </row>
    <row r="52" spans="1:4" s="28" customFormat="1" x14ac:dyDescent="0.3">
      <c r="A52" s="27"/>
      <c r="C52" s="27"/>
      <c r="D52" s="27"/>
    </row>
    <row r="53" spans="1:4" s="28" customFormat="1" x14ac:dyDescent="0.3">
      <c r="A53" s="27"/>
      <c r="C53" s="27"/>
      <c r="D53" s="27"/>
    </row>
    <row r="54" spans="1:4" s="28" customFormat="1" x14ac:dyDescent="0.3">
      <c r="A54" s="27"/>
      <c r="C54" s="27"/>
      <c r="D54" s="27"/>
    </row>
    <row r="55" spans="1:4" s="28" customFormat="1" x14ac:dyDescent="0.3">
      <c r="A55" s="27"/>
      <c r="C55" s="27"/>
      <c r="D55" s="27"/>
    </row>
    <row r="56" spans="1:4" s="28" customFormat="1" x14ac:dyDescent="0.3">
      <c r="A56" s="27"/>
      <c r="C56" s="27"/>
      <c r="D56" s="27"/>
    </row>
    <row r="57" spans="1:4" s="28" customFormat="1" x14ac:dyDescent="0.3">
      <c r="A57" s="27"/>
      <c r="C57" s="27"/>
      <c r="D57" s="27"/>
    </row>
    <row r="58" spans="1:4" s="28" customFormat="1" x14ac:dyDescent="0.3">
      <c r="A58" s="27"/>
      <c r="C58" s="27"/>
      <c r="D58" s="27"/>
    </row>
    <row r="59" spans="1:4" s="28" customFormat="1" x14ac:dyDescent="0.3">
      <c r="A59" s="27"/>
      <c r="C59" s="27"/>
      <c r="D59" s="27"/>
    </row>
    <row r="60" spans="1:4" s="28" customFormat="1" x14ac:dyDescent="0.3">
      <c r="A60" s="27"/>
      <c r="C60" s="27"/>
      <c r="D60" s="27"/>
    </row>
    <row r="61" spans="1:4" s="28" customFormat="1" x14ac:dyDescent="0.3">
      <c r="A61" s="27"/>
      <c r="C61" s="27"/>
      <c r="D61" s="27"/>
    </row>
    <row r="62" spans="1:4" s="28" customFormat="1" x14ac:dyDescent="0.3">
      <c r="A62" s="27"/>
      <c r="C62" s="27"/>
      <c r="D62" s="27"/>
    </row>
    <row r="63" spans="1:4" s="28" customFormat="1" x14ac:dyDescent="0.3">
      <c r="A63" s="27"/>
      <c r="C63" s="27"/>
      <c r="D63" s="27"/>
    </row>
    <row r="64" spans="1:4" s="28" customFormat="1" x14ac:dyDescent="0.3">
      <c r="A64" s="27"/>
      <c r="C64" s="27"/>
      <c r="D64" s="27"/>
    </row>
    <row r="65" spans="1:4" s="28" customFormat="1" x14ac:dyDescent="0.3">
      <c r="A65" s="27"/>
      <c r="C65" s="27"/>
      <c r="D65" s="27"/>
    </row>
    <row r="66" spans="1:4" s="28" customFormat="1" x14ac:dyDescent="0.3">
      <c r="A66" s="27"/>
      <c r="C66" s="27"/>
      <c r="D66" s="27"/>
    </row>
    <row r="67" spans="1:4" s="28" customFormat="1" x14ac:dyDescent="0.3">
      <c r="A67" s="27"/>
      <c r="C67" s="27"/>
      <c r="D67" s="27"/>
    </row>
    <row r="68" spans="1:4" s="28" customFormat="1" x14ac:dyDescent="0.3">
      <c r="A68" s="27"/>
      <c r="C68" s="27"/>
      <c r="D68" s="27"/>
    </row>
    <row r="69" spans="1:4" s="28" customFormat="1" x14ac:dyDescent="0.3">
      <c r="A69" s="27"/>
      <c r="C69" s="27"/>
      <c r="D69" s="27"/>
    </row>
    <row r="70" spans="1:4" s="28" customFormat="1" x14ac:dyDescent="0.3">
      <c r="A70" s="27"/>
      <c r="C70" s="27"/>
      <c r="D70" s="27"/>
    </row>
    <row r="71" spans="1:4" s="28" customFormat="1" x14ac:dyDescent="0.3">
      <c r="A71" s="27"/>
      <c r="C71" s="27"/>
      <c r="D71" s="27"/>
    </row>
    <row r="72" spans="1:4" s="28" customFormat="1" x14ac:dyDescent="0.3">
      <c r="A72" s="27"/>
      <c r="C72" s="27"/>
      <c r="D72" s="27"/>
    </row>
    <row r="73" spans="1:4" s="28" customFormat="1" x14ac:dyDescent="0.3">
      <c r="A73" s="27"/>
      <c r="C73" s="27"/>
      <c r="D73" s="27"/>
    </row>
    <row r="74" spans="1:4" s="28" customFormat="1" x14ac:dyDescent="0.3">
      <c r="A74" s="27"/>
      <c r="C74" s="27"/>
      <c r="D74" s="27"/>
    </row>
    <row r="75" spans="1:4" s="28" customFormat="1" x14ac:dyDescent="0.3">
      <c r="A75" s="27"/>
      <c r="C75" s="27"/>
      <c r="D75" s="27"/>
    </row>
    <row r="76" spans="1:4" s="28" customFormat="1" x14ac:dyDescent="0.3">
      <c r="A76" s="27"/>
      <c r="C76" s="27"/>
      <c r="D76" s="27"/>
    </row>
    <row r="77" spans="1:4" s="28" customFormat="1" x14ac:dyDescent="0.3">
      <c r="A77" s="27"/>
      <c r="C77" s="27"/>
      <c r="D77" s="27"/>
    </row>
    <row r="78" spans="1:4" s="28" customFormat="1" x14ac:dyDescent="0.3">
      <c r="A78" s="27"/>
      <c r="C78" s="27"/>
      <c r="D78" s="27"/>
    </row>
    <row r="79" spans="1:4" s="28" customFormat="1" x14ac:dyDescent="0.3">
      <c r="A79" s="27"/>
      <c r="C79" s="27"/>
      <c r="D79" s="27"/>
    </row>
    <row r="80" spans="1:4" s="28" customFormat="1" x14ac:dyDescent="0.3">
      <c r="A80" s="27"/>
      <c r="C80" s="27"/>
      <c r="D80" s="27"/>
    </row>
    <row r="81" spans="1:4" s="28" customFormat="1" x14ac:dyDescent="0.3">
      <c r="A81" s="27"/>
      <c r="C81" s="27"/>
      <c r="D81" s="27"/>
    </row>
    <row r="82" spans="1:4" s="28" customFormat="1" x14ac:dyDescent="0.3">
      <c r="A82" s="27"/>
      <c r="C82" s="27"/>
      <c r="D82" s="27"/>
    </row>
    <row r="83" spans="1:4" s="28" customFormat="1" x14ac:dyDescent="0.3">
      <c r="A83" s="27"/>
      <c r="C83" s="27"/>
      <c r="D83" s="27"/>
    </row>
    <row r="84" spans="1:4" s="28" customFormat="1" x14ac:dyDescent="0.3">
      <c r="A84" s="27"/>
      <c r="C84" s="27"/>
      <c r="D84" s="27"/>
    </row>
    <row r="85" spans="1:4" s="28" customFormat="1" x14ac:dyDescent="0.3">
      <c r="A85" s="27"/>
      <c r="C85" s="27"/>
      <c r="D85" s="27"/>
    </row>
    <row r="86" spans="1:4" s="28" customFormat="1" x14ac:dyDescent="0.3">
      <c r="A86" s="27"/>
      <c r="C86" s="27"/>
      <c r="D86" s="27"/>
    </row>
    <row r="87" spans="1:4" s="28" customFormat="1" x14ac:dyDescent="0.3">
      <c r="A87" s="27"/>
      <c r="C87" s="27"/>
      <c r="D87" s="27"/>
    </row>
    <row r="88" spans="1:4" s="28" customFormat="1" x14ac:dyDescent="0.3">
      <c r="A88" s="27"/>
      <c r="C88" s="27"/>
      <c r="D88" s="27"/>
    </row>
    <row r="89" spans="1:4" s="28" customFormat="1" x14ac:dyDescent="0.3">
      <c r="A89" s="27"/>
      <c r="C89" s="27"/>
      <c r="D89" s="27"/>
    </row>
    <row r="90" spans="1:4" s="28" customFormat="1" x14ac:dyDescent="0.3">
      <c r="A90" s="27"/>
      <c r="C90" s="27"/>
      <c r="D90" s="27"/>
    </row>
    <row r="91" spans="1:4" s="28" customFormat="1" x14ac:dyDescent="0.3">
      <c r="A91" s="27"/>
      <c r="C91" s="27"/>
      <c r="D91" s="27"/>
    </row>
    <row r="92" spans="1:4" s="28" customFormat="1" x14ac:dyDescent="0.3">
      <c r="A92" s="27"/>
      <c r="C92" s="27"/>
      <c r="D92" s="27"/>
    </row>
    <row r="93" spans="1:4" s="28" customFormat="1" x14ac:dyDescent="0.3">
      <c r="A93" s="27"/>
      <c r="C93" s="27"/>
      <c r="D93" s="27"/>
    </row>
    <row r="94" spans="1:4" s="28" customFormat="1" x14ac:dyDescent="0.3">
      <c r="A94" s="27"/>
      <c r="C94" s="27"/>
      <c r="D94" s="27"/>
    </row>
    <row r="95" spans="1:4" s="28" customFormat="1" x14ac:dyDescent="0.3">
      <c r="A95" s="27"/>
      <c r="C95" s="27"/>
      <c r="D95" s="27"/>
    </row>
    <row r="96" spans="1:4" s="28" customFormat="1" x14ac:dyDescent="0.3">
      <c r="A96" s="27"/>
      <c r="C96" s="27"/>
      <c r="D96" s="27"/>
    </row>
    <row r="97" spans="1:4" s="28" customFormat="1" x14ac:dyDescent="0.3">
      <c r="A97" s="27"/>
      <c r="C97" s="27"/>
      <c r="D97" s="27"/>
    </row>
    <row r="98" spans="1:4" s="28" customFormat="1" x14ac:dyDescent="0.3">
      <c r="A98" s="27"/>
      <c r="C98" s="27"/>
      <c r="D98" s="27"/>
    </row>
    <row r="99" spans="1:4" s="28" customFormat="1" x14ac:dyDescent="0.3">
      <c r="A99" s="27"/>
      <c r="C99" s="27"/>
      <c r="D99" s="27"/>
    </row>
    <row r="100" spans="1:4" s="28" customFormat="1" x14ac:dyDescent="0.3">
      <c r="A100" s="27"/>
      <c r="C100" s="27"/>
      <c r="D100" s="27"/>
    </row>
  </sheetData>
  <mergeCells count="5">
    <mergeCell ref="A4:D4"/>
    <mergeCell ref="E4:I4"/>
    <mergeCell ref="B1:D1"/>
    <mergeCell ref="B2:D2"/>
    <mergeCell ref="B3:D3"/>
  </mergeCells>
  <phoneticPr fontId="1" type="noConversion"/>
  <dataValidations count="1">
    <dataValidation type="list" allowBlank="1" showInputMessage="1" showErrorMessage="1" sqref="E6:E33" xr:uid="{00000000-0002-0000-0300-000000000000}">
      <formula1>"Passed,Failed,Not Run,Blocked"</formula1>
    </dataValidation>
  </dataValidations>
  <pageMargins left="0.23622047244094491" right="0.23622047244094491" top="0.47244094488188981" bottom="0.47244094488188981" header="0.31496062992125984" footer="0.31496062992125984"/>
  <pageSetup paperSize="9" scale="74" orientation="landscape"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pageSetUpPr fitToPage="1"/>
  </sheetPr>
  <dimension ref="A1:J96"/>
  <sheetViews>
    <sheetView topLeftCell="A7" workbookViewId="0">
      <selection activeCell="H21" sqref="H21"/>
    </sheetView>
  </sheetViews>
  <sheetFormatPr defaultColWidth="9.109375" defaultRowHeight="13.8" x14ac:dyDescent="0.3"/>
  <cols>
    <col min="1" max="1" width="7.88671875" style="29" customWidth="1"/>
    <col min="2" max="2" width="29.5546875" style="30" customWidth="1"/>
    <col min="3" max="3" width="16.44140625" style="29" customWidth="1"/>
    <col min="4" max="4" width="17.33203125" style="29" customWidth="1"/>
    <col min="5" max="5" width="22.6640625" style="30" customWidth="1"/>
    <col min="6" max="6" width="38.5546875" style="30" customWidth="1"/>
    <col min="7" max="7" width="11.109375" style="30" customWidth="1"/>
    <col min="8" max="8" width="16" style="30" customWidth="1"/>
    <col min="9" max="9" width="14.6640625" style="30" customWidth="1"/>
    <col min="10" max="16384" width="9.109375" style="30"/>
  </cols>
  <sheetData>
    <row r="1" spans="1:10" s="5" customFormat="1" ht="18.600000000000001" thickBot="1" x14ac:dyDescent="0.3">
      <c r="A1" s="6" t="s">
        <v>12</v>
      </c>
      <c r="B1" s="90" t="str">
        <f>'List of Tests'!B2</f>
        <v>Test</v>
      </c>
      <c r="C1" s="91"/>
      <c r="D1" s="92"/>
      <c r="E1" s="4"/>
      <c r="F1" s="4"/>
      <c r="G1" s="4"/>
      <c r="H1" s="4"/>
      <c r="I1" s="4"/>
    </row>
    <row r="2" spans="1:10" s="5" customFormat="1" x14ac:dyDescent="0.25">
      <c r="A2" s="6" t="s">
        <v>11</v>
      </c>
      <c r="B2" s="93" t="str">
        <f ca="1">INDIRECT("'List of Tests'!B"&amp;(MID(CELL("filename",A1),FIND("]TC",CELL("filename",A1),1)+3,9999)+3))</f>
        <v>Settings page - General</v>
      </c>
      <c r="C2" s="97"/>
      <c r="D2" s="97"/>
      <c r="E2" s="7" t="s">
        <v>25</v>
      </c>
      <c r="F2" s="7" t="str">
        <f>IF(COUNTIF($E$6:$E$996,"Failed")&gt;0,"Failed",IF(COUNTIF($E$6:$E$996,"Blocked")&gt;0,"Blocked",IF(COUNTIF($E$6:$E$996,"Not Run")&gt;0,"Not Run",IF(COUNTIF($E$6:$E$996,"Passed")&gt;0,"Passed","Not Run"))))</f>
        <v>Failed</v>
      </c>
      <c r="G2" s="4"/>
      <c r="H2" s="4"/>
      <c r="I2" s="4"/>
    </row>
    <row r="3" spans="1:10" s="5" customFormat="1" x14ac:dyDescent="0.3">
      <c r="A3" s="6" t="s">
        <v>23</v>
      </c>
      <c r="B3" s="95" t="str">
        <f ca="1">INDIRECT("'List of Tests'!C"&amp;(MID(CELL("filename",A1),FIND("]TC",CELL("filename",A1),1)+3,9999)+3))</f>
        <v>Test if all forms are functioning correctly</v>
      </c>
      <c r="C3" s="98"/>
      <c r="D3" s="99"/>
      <c r="E3" s="9"/>
      <c r="F3" s="9"/>
      <c r="G3" s="9"/>
      <c r="H3" s="9"/>
      <c r="I3" s="9"/>
    </row>
    <row r="4" spans="1:10" x14ac:dyDescent="0.3">
      <c r="A4" s="100" t="s">
        <v>6</v>
      </c>
      <c r="B4" s="101"/>
      <c r="C4" s="101"/>
      <c r="D4" s="102"/>
      <c r="E4" s="103" t="s">
        <v>7</v>
      </c>
      <c r="F4" s="104"/>
      <c r="G4" s="104"/>
      <c r="H4" s="104"/>
      <c r="I4" s="105"/>
    </row>
    <row r="5" spans="1:10" s="15" customFormat="1" ht="27.6" x14ac:dyDescent="0.25">
      <c r="A5" s="11" t="s">
        <v>24</v>
      </c>
      <c r="B5" s="11" t="s">
        <v>1</v>
      </c>
      <c r="C5" s="11" t="s">
        <v>0</v>
      </c>
      <c r="D5" s="12" t="s">
        <v>2</v>
      </c>
      <c r="E5" s="13" t="s">
        <v>3</v>
      </c>
      <c r="F5" s="11" t="s">
        <v>4</v>
      </c>
      <c r="G5" s="14" t="s">
        <v>19</v>
      </c>
      <c r="H5" s="11" t="s">
        <v>8</v>
      </c>
      <c r="I5" s="14" t="s">
        <v>22</v>
      </c>
    </row>
    <row r="6" spans="1:10" s="21" customFormat="1" ht="46.5" customHeight="1" x14ac:dyDescent="0.25">
      <c r="A6" s="32">
        <v>1</v>
      </c>
      <c r="B6" s="33" t="s">
        <v>123</v>
      </c>
      <c r="C6" s="33" t="s">
        <v>124</v>
      </c>
      <c r="D6" s="34" t="s">
        <v>125</v>
      </c>
      <c r="E6" s="31" t="s">
        <v>50</v>
      </c>
      <c r="F6" s="23" t="s">
        <v>126</v>
      </c>
      <c r="G6" s="22" t="s">
        <v>131</v>
      </c>
      <c r="H6" s="23" t="s">
        <v>53</v>
      </c>
      <c r="I6" s="23"/>
      <c r="J6" s="24"/>
    </row>
    <row r="7" spans="1:10" s="21" customFormat="1" ht="46.5" customHeight="1" x14ac:dyDescent="0.25">
      <c r="A7" s="16">
        <v>2</v>
      </c>
      <c r="B7" s="33" t="s">
        <v>123</v>
      </c>
      <c r="C7" s="33" t="s">
        <v>127</v>
      </c>
      <c r="D7" s="34" t="s">
        <v>54</v>
      </c>
      <c r="E7" s="20" t="s">
        <v>55</v>
      </c>
      <c r="F7" s="23" t="s">
        <v>126</v>
      </c>
      <c r="G7" s="22" t="s">
        <v>131</v>
      </c>
      <c r="H7" s="23" t="s">
        <v>53</v>
      </c>
      <c r="I7" s="23">
        <v>6</v>
      </c>
      <c r="J7" s="24"/>
    </row>
    <row r="8" spans="1:10" s="21" customFormat="1" ht="27.6" x14ac:dyDescent="0.25">
      <c r="A8" s="32">
        <v>3</v>
      </c>
      <c r="B8" s="33" t="s">
        <v>123</v>
      </c>
      <c r="C8" s="33" t="s">
        <v>128</v>
      </c>
      <c r="D8" s="34" t="s">
        <v>54</v>
      </c>
      <c r="E8" s="49" t="s">
        <v>55</v>
      </c>
      <c r="F8" s="50" t="s">
        <v>126</v>
      </c>
      <c r="G8" s="22" t="s">
        <v>131</v>
      </c>
      <c r="H8" s="23" t="s">
        <v>53</v>
      </c>
      <c r="I8" s="50">
        <v>7</v>
      </c>
      <c r="J8" s="24"/>
    </row>
    <row r="9" spans="1:10" s="21" customFormat="1" ht="27.6" x14ac:dyDescent="0.25">
      <c r="A9" s="16">
        <v>4</v>
      </c>
      <c r="B9" s="33" t="s">
        <v>129</v>
      </c>
      <c r="C9" s="33" t="s">
        <v>132</v>
      </c>
      <c r="D9" s="34" t="s">
        <v>54</v>
      </c>
      <c r="E9" s="49" t="s">
        <v>55</v>
      </c>
      <c r="F9" s="50" t="s">
        <v>130</v>
      </c>
      <c r="G9" s="22" t="s">
        <v>131</v>
      </c>
      <c r="H9" s="23" t="s">
        <v>53</v>
      </c>
      <c r="I9" s="50">
        <v>8</v>
      </c>
      <c r="J9" s="24"/>
    </row>
    <row r="10" spans="1:10" s="21" customFormat="1" ht="27.6" x14ac:dyDescent="0.25">
      <c r="A10" s="32">
        <v>5</v>
      </c>
      <c r="B10" s="17" t="s">
        <v>129</v>
      </c>
      <c r="C10" s="23" t="s">
        <v>128</v>
      </c>
      <c r="D10" s="26" t="s">
        <v>54</v>
      </c>
      <c r="E10" s="49" t="s">
        <v>55</v>
      </c>
      <c r="F10" s="50" t="s">
        <v>130</v>
      </c>
      <c r="G10" s="22" t="s">
        <v>131</v>
      </c>
      <c r="H10" s="23" t="s">
        <v>53</v>
      </c>
      <c r="I10" s="50">
        <v>9</v>
      </c>
      <c r="J10" s="24"/>
    </row>
    <row r="11" spans="1:10" s="21" customFormat="1" ht="27.6" x14ac:dyDescent="0.25">
      <c r="A11" s="16">
        <v>6</v>
      </c>
      <c r="B11" s="33" t="s">
        <v>134</v>
      </c>
      <c r="C11" s="35" t="s">
        <v>135</v>
      </c>
      <c r="D11" s="36" t="s">
        <v>54</v>
      </c>
      <c r="E11" s="31" t="s">
        <v>55</v>
      </c>
      <c r="F11" s="23" t="s">
        <v>136</v>
      </c>
      <c r="G11" s="22" t="s">
        <v>131</v>
      </c>
      <c r="H11" s="23" t="s">
        <v>53</v>
      </c>
      <c r="I11" s="23">
        <v>10</v>
      </c>
      <c r="J11" s="24"/>
    </row>
    <row r="12" spans="1:10" s="21" customFormat="1" ht="27.6" x14ac:dyDescent="0.25">
      <c r="A12" s="32">
        <v>7</v>
      </c>
      <c r="B12" s="33" t="s">
        <v>134</v>
      </c>
      <c r="C12" s="35" t="s">
        <v>128</v>
      </c>
      <c r="D12" s="36" t="s">
        <v>54</v>
      </c>
      <c r="E12" s="31" t="s">
        <v>55</v>
      </c>
      <c r="F12" s="23" t="s">
        <v>136</v>
      </c>
      <c r="G12" s="22" t="s">
        <v>131</v>
      </c>
      <c r="H12" s="23" t="s">
        <v>53</v>
      </c>
      <c r="I12" s="23">
        <v>11</v>
      </c>
      <c r="J12" s="24"/>
    </row>
    <row r="13" spans="1:10" s="21" customFormat="1" ht="27.6" x14ac:dyDescent="0.25">
      <c r="A13" s="16">
        <v>8</v>
      </c>
      <c r="B13" s="17" t="s">
        <v>137</v>
      </c>
      <c r="C13" s="23"/>
      <c r="D13" s="26" t="s">
        <v>54</v>
      </c>
      <c r="E13" s="20" t="s">
        <v>55</v>
      </c>
      <c r="F13" s="23" t="s">
        <v>138</v>
      </c>
      <c r="G13" s="22" t="s">
        <v>131</v>
      </c>
      <c r="H13" s="23" t="s">
        <v>53</v>
      </c>
      <c r="I13" s="23">
        <v>12</v>
      </c>
      <c r="J13" s="24"/>
    </row>
    <row r="14" spans="1:10" s="21" customFormat="1" ht="27.6" x14ac:dyDescent="0.25">
      <c r="A14" s="32">
        <v>9</v>
      </c>
      <c r="B14" s="33" t="s">
        <v>139</v>
      </c>
      <c r="C14" s="35"/>
      <c r="D14" s="36" t="s">
        <v>140</v>
      </c>
      <c r="E14" s="31" t="s">
        <v>50</v>
      </c>
      <c r="F14" s="23" t="s">
        <v>141</v>
      </c>
      <c r="G14" s="22" t="s">
        <v>131</v>
      </c>
      <c r="H14" s="23" t="s">
        <v>53</v>
      </c>
      <c r="I14" s="23"/>
      <c r="J14" s="24"/>
    </row>
    <row r="15" spans="1:10" s="21" customFormat="1" ht="27.6" x14ac:dyDescent="0.25">
      <c r="A15" s="16">
        <v>10</v>
      </c>
      <c r="B15" s="17" t="s">
        <v>142</v>
      </c>
      <c r="C15" s="23"/>
      <c r="D15" s="26" t="s">
        <v>143</v>
      </c>
      <c r="E15" s="20" t="s">
        <v>50</v>
      </c>
      <c r="F15" s="23" t="s">
        <v>144</v>
      </c>
      <c r="G15" s="22" t="s">
        <v>131</v>
      </c>
      <c r="H15" s="23" t="s">
        <v>53</v>
      </c>
      <c r="I15" s="23"/>
      <c r="J15" s="24"/>
    </row>
    <row r="16" spans="1:10" s="21" customFormat="1" ht="41.4" x14ac:dyDescent="0.25">
      <c r="A16" s="32">
        <v>11</v>
      </c>
      <c r="B16" s="33" t="s">
        <v>145</v>
      </c>
      <c r="C16" s="35"/>
      <c r="D16" s="36" t="s">
        <v>146</v>
      </c>
      <c r="E16" s="20" t="s">
        <v>50</v>
      </c>
      <c r="F16" s="23" t="s">
        <v>146</v>
      </c>
      <c r="G16" s="22" t="s">
        <v>131</v>
      </c>
      <c r="H16" s="23" t="s">
        <v>53</v>
      </c>
      <c r="I16" s="23"/>
      <c r="J16" s="24"/>
    </row>
    <row r="17" spans="1:10" s="21" customFormat="1" ht="27.6" x14ac:dyDescent="0.25">
      <c r="A17" s="16">
        <v>12</v>
      </c>
      <c r="B17" s="33" t="s">
        <v>147</v>
      </c>
      <c r="C17" s="35"/>
      <c r="D17" s="36" t="s">
        <v>148</v>
      </c>
      <c r="E17" s="20" t="s">
        <v>50</v>
      </c>
      <c r="F17" s="23" t="s">
        <v>148</v>
      </c>
      <c r="G17" s="22" t="s">
        <v>131</v>
      </c>
      <c r="H17" s="23" t="s">
        <v>53</v>
      </c>
      <c r="I17" s="23"/>
      <c r="J17" s="24"/>
    </row>
    <row r="18" spans="1:10" s="21" customFormat="1" x14ac:dyDescent="0.25">
      <c r="A18" s="32">
        <v>13</v>
      </c>
      <c r="B18" s="33"/>
      <c r="C18" s="35"/>
      <c r="D18" s="36"/>
      <c r="E18" s="20"/>
      <c r="F18" s="23"/>
      <c r="G18" s="22"/>
      <c r="H18" s="23"/>
      <c r="I18" s="23"/>
      <c r="J18" s="24"/>
    </row>
    <row r="19" spans="1:10" s="21" customFormat="1" x14ac:dyDescent="0.25">
      <c r="A19" s="16">
        <v>14</v>
      </c>
      <c r="B19" s="33"/>
      <c r="C19" s="35"/>
      <c r="D19" s="36"/>
      <c r="E19" s="20"/>
      <c r="F19" s="23"/>
      <c r="G19" s="22"/>
      <c r="H19" s="23"/>
      <c r="I19" s="23"/>
      <c r="J19" s="24"/>
    </row>
    <row r="20" spans="1:10" s="21" customFormat="1" x14ac:dyDescent="0.25">
      <c r="A20" s="32">
        <v>15</v>
      </c>
      <c r="B20" s="17"/>
      <c r="C20" s="23"/>
      <c r="D20" s="26"/>
      <c r="E20" s="20"/>
      <c r="F20" s="23"/>
      <c r="G20" s="22"/>
      <c r="H20" s="23"/>
      <c r="I20" s="23"/>
      <c r="J20" s="24"/>
    </row>
    <row r="21" spans="1:10" s="28" customFormat="1" x14ac:dyDescent="0.3">
      <c r="A21" s="27"/>
      <c r="C21" s="27"/>
      <c r="D21" s="27"/>
    </row>
    <row r="22" spans="1:10" s="28" customFormat="1" x14ac:dyDescent="0.3">
      <c r="A22" s="27"/>
      <c r="B22" s="37"/>
      <c r="C22" s="27"/>
      <c r="D22" s="27"/>
    </row>
    <row r="23" spans="1:10" s="28" customFormat="1" x14ac:dyDescent="0.3">
      <c r="A23" s="27"/>
      <c r="B23" s="37"/>
      <c r="C23" s="27"/>
      <c r="D23" s="27"/>
    </row>
    <row r="24" spans="1:10" s="28" customFormat="1" x14ac:dyDescent="0.3">
      <c r="A24" s="38"/>
      <c r="C24" s="27"/>
      <c r="D24" s="27"/>
      <c r="E24" s="40"/>
      <c r="G24" s="41"/>
    </row>
    <row r="25" spans="1:10" s="28" customFormat="1" x14ac:dyDescent="0.3">
      <c r="A25" s="38"/>
      <c r="B25" s="39"/>
      <c r="C25" s="27"/>
      <c r="D25" s="27"/>
      <c r="E25" s="40"/>
    </row>
    <row r="26" spans="1:10" s="28" customFormat="1" x14ac:dyDescent="0.3">
      <c r="A26" s="38"/>
      <c r="B26" s="39"/>
      <c r="C26" s="39"/>
      <c r="D26" s="27"/>
      <c r="E26" s="40"/>
    </row>
    <row r="27" spans="1:10" s="28" customFormat="1" x14ac:dyDescent="0.3">
      <c r="A27" s="38"/>
      <c r="B27" s="42"/>
      <c r="C27" s="27"/>
      <c r="D27" s="27"/>
      <c r="E27" s="40"/>
      <c r="G27" s="41"/>
    </row>
    <row r="28" spans="1:10" s="28" customFormat="1" x14ac:dyDescent="0.3">
      <c r="A28" s="38"/>
      <c r="B28" s="42"/>
      <c r="C28" s="27"/>
      <c r="D28" s="27"/>
      <c r="E28" s="40"/>
    </row>
    <row r="29" spans="1:10" s="28" customFormat="1" x14ac:dyDescent="0.3">
      <c r="A29" s="38"/>
      <c r="B29" s="42"/>
      <c r="C29" s="27"/>
      <c r="D29" s="27"/>
      <c r="E29" s="40"/>
    </row>
    <row r="30" spans="1:10" s="28" customFormat="1" x14ac:dyDescent="0.3">
      <c r="A30" s="38"/>
      <c r="B30" s="42"/>
      <c r="C30" s="27"/>
      <c r="D30" s="27"/>
      <c r="E30" s="40"/>
    </row>
    <row r="31" spans="1:10" s="28" customFormat="1" x14ac:dyDescent="0.3">
      <c r="A31" s="38"/>
      <c r="B31" s="42"/>
      <c r="C31" s="27"/>
      <c r="D31" s="27"/>
      <c r="E31" s="40"/>
    </row>
    <row r="32" spans="1:10" s="28" customFormat="1" x14ac:dyDescent="0.3">
      <c r="A32" s="38"/>
      <c r="B32" s="42"/>
      <c r="C32" s="27"/>
      <c r="D32" s="27"/>
      <c r="E32" s="40"/>
    </row>
    <row r="33" spans="1:5" s="28" customFormat="1" x14ac:dyDescent="0.3">
      <c r="A33" s="38"/>
      <c r="B33" s="42"/>
      <c r="C33" s="27"/>
      <c r="D33" s="27"/>
      <c r="E33" s="40"/>
    </row>
    <row r="34" spans="1:5" s="28" customFormat="1" x14ac:dyDescent="0.3">
      <c r="A34" s="38"/>
      <c r="B34" s="42"/>
      <c r="C34" s="27"/>
      <c r="D34" s="27"/>
      <c r="E34" s="40"/>
    </row>
    <row r="35" spans="1:5" s="28" customFormat="1" x14ac:dyDescent="0.3">
      <c r="A35" s="38"/>
      <c r="B35" s="42"/>
      <c r="C35" s="27"/>
      <c r="D35" s="27"/>
      <c r="E35" s="40"/>
    </row>
    <row r="36" spans="1:5" s="28" customFormat="1" x14ac:dyDescent="0.3">
      <c r="A36" s="38"/>
      <c r="B36" s="42"/>
      <c r="C36" s="27"/>
      <c r="D36" s="27"/>
      <c r="E36" s="40"/>
    </row>
    <row r="37" spans="1:5" s="28" customFormat="1" x14ac:dyDescent="0.3">
      <c r="A37" s="38"/>
      <c r="B37" s="42"/>
      <c r="C37" s="27"/>
      <c r="D37" s="27"/>
      <c r="E37" s="40"/>
    </row>
    <row r="38" spans="1:5" s="28" customFormat="1" x14ac:dyDescent="0.3">
      <c r="A38" s="38"/>
      <c r="B38" s="42"/>
      <c r="C38" s="27"/>
      <c r="D38" s="27"/>
      <c r="E38" s="40"/>
    </row>
    <row r="39" spans="1:5" s="28" customFormat="1" x14ac:dyDescent="0.3">
      <c r="A39" s="38"/>
      <c r="B39" s="42"/>
      <c r="C39" s="27"/>
      <c r="D39" s="27"/>
      <c r="E39" s="40"/>
    </row>
    <row r="40" spans="1:5" s="28" customFormat="1" x14ac:dyDescent="0.3">
      <c r="A40" s="38"/>
      <c r="B40" s="42"/>
      <c r="C40" s="27"/>
      <c r="D40" s="27"/>
      <c r="E40" s="40"/>
    </row>
    <row r="41" spans="1:5" s="28" customFormat="1" x14ac:dyDescent="0.3">
      <c r="A41" s="38"/>
      <c r="B41" s="42"/>
      <c r="C41" s="27"/>
      <c r="D41" s="27"/>
      <c r="E41" s="40"/>
    </row>
    <row r="42" spans="1:5" s="28" customFormat="1" x14ac:dyDescent="0.3">
      <c r="A42" s="38"/>
      <c r="B42" s="42"/>
      <c r="C42" s="27"/>
      <c r="D42" s="27"/>
      <c r="E42" s="40"/>
    </row>
    <row r="43" spans="1:5" s="28" customFormat="1" x14ac:dyDescent="0.3">
      <c r="A43" s="38"/>
      <c r="B43" s="42"/>
      <c r="C43" s="27"/>
      <c r="D43" s="27"/>
      <c r="E43" s="40"/>
    </row>
    <row r="44" spans="1:5" s="28" customFormat="1" x14ac:dyDescent="0.3">
      <c r="A44" s="38"/>
      <c r="B44" s="42"/>
      <c r="C44" s="27"/>
      <c r="D44" s="27"/>
      <c r="E44" s="40"/>
    </row>
    <row r="45" spans="1:5" s="28" customFormat="1" x14ac:dyDescent="0.3">
      <c r="A45" s="38"/>
      <c r="B45" s="42"/>
      <c r="C45" s="27"/>
      <c r="D45" s="27"/>
      <c r="E45" s="40"/>
    </row>
    <row r="46" spans="1:5" s="28" customFormat="1" x14ac:dyDescent="0.3">
      <c r="A46" s="38"/>
      <c r="B46" s="42"/>
      <c r="C46" s="27"/>
      <c r="D46" s="27"/>
      <c r="E46" s="40"/>
    </row>
    <row r="47" spans="1:5" s="28" customFormat="1" x14ac:dyDescent="0.3">
      <c r="A47" s="38"/>
      <c r="B47" s="42"/>
      <c r="C47" s="27"/>
      <c r="D47" s="27"/>
      <c r="E47" s="40"/>
    </row>
    <row r="48" spans="1:5" s="28" customFormat="1" x14ac:dyDescent="0.3">
      <c r="A48" s="38"/>
      <c r="B48" s="42"/>
      <c r="C48" s="27"/>
      <c r="D48" s="27"/>
      <c r="E48" s="40"/>
    </row>
    <row r="49" spans="1:5" s="28" customFormat="1" x14ac:dyDescent="0.3">
      <c r="A49" s="38"/>
      <c r="B49" s="42"/>
      <c r="C49" s="27"/>
      <c r="D49" s="27"/>
      <c r="E49" s="40"/>
    </row>
    <row r="50" spans="1:5" s="28" customFormat="1" x14ac:dyDescent="0.3">
      <c r="A50" s="38"/>
      <c r="B50" s="42"/>
      <c r="C50" s="27"/>
      <c r="D50" s="27"/>
      <c r="E50" s="40"/>
    </row>
    <row r="51" spans="1:5" s="28" customFormat="1" x14ac:dyDescent="0.3">
      <c r="A51" s="38"/>
      <c r="B51" s="42"/>
      <c r="C51" s="27"/>
      <c r="D51" s="27"/>
      <c r="E51" s="40"/>
    </row>
    <row r="52" spans="1:5" s="28" customFormat="1" x14ac:dyDescent="0.3">
      <c r="A52" s="38"/>
      <c r="B52" s="42"/>
      <c r="C52" s="27"/>
      <c r="D52" s="27"/>
      <c r="E52" s="40"/>
    </row>
    <row r="53" spans="1:5" s="28" customFormat="1" x14ac:dyDescent="0.3">
      <c r="A53" s="27"/>
      <c r="B53" s="42"/>
      <c r="C53" s="27"/>
      <c r="D53" s="27"/>
      <c r="E53" s="40"/>
    </row>
    <row r="54" spans="1:5" s="28" customFormat="1" x14ac:dyDescent="0.3">
      <c r="A54" s="27"/>
      <c r="B54" s="42"/>
      <c r="C54" s="27"/>
      <c r="D54" s="27"/>
      <c r="E54" s="40"/>
    </row>
    <row r="55" spans="1:5" s="28" customFormat="1" x14ac:dyDescent="0.3">
      <c r="A55" s="27"/>
      <c r="B55" s="42"/>
      <c r="C55" s="27"/>
      <c r="D55" s="27"/>
      <c r="E55" s="40"/>
    </row>
    <row r="56" spans="1:5" s="28" customFormat="1" x14ac:dyDescent="0.3">
      <c r="A56" s="27"/>
      <c r="B56" s="42"/>
      <c r="C56" s="27"/>
      <c r="D56" s="27"/>
      <c r="E56" s="40"/>
    </row>
    <row r="57" spans="1:5" s="28" customFormat="1" x14ac:dyDescent="0.3">
      <c r="A57" s="27"/>
      <c r="B57" s="42"/>
      <c r="C57" s="27"/>
      <c r="D57" s="27"/>
      <c r="E57" s="40"/>
    </row>
    <row r="58" spans="1:5" s="28" customFormat="1" x14ac:dyDescent="0.3">
      <c r="A58" s="27"/>
      <c r="B58" s="42"/>
      <c r="C58" s="27"/>
      <c r="D58" s="27"/>
      <c r="E58" s="40"/>
    </row>
    <row r="59" spans="1:5" s="28" customFormat="1" x14ac:dyDescent="0.3">
      <c r="A59" s="27"/>
      <c r="B59" s="42"/>
      <c r="C59" s="27"/>
      <c r="D59" s="27"/>
      <c r="E59" s="40"/>
    </row>
    <row r="60" spans="1:5" s="28" customFormat="1" x14ac:dyDescent="0.3">
      <c r="A60" s="27"/>
      <c r="B60" s="42"/>
      <c r="C60" s="27"/>
      <c r="D60" s="27"/>
      <c r="E60" s="40"/>
    </row>
    <row r="61" spans="1:5" s="28" customFormat="1" x14ac:dyDescent="0.3">
      <c r="A61" s="27"/>
      <c r="B61" s="42"/>
      <c r="C61" s="27"/>
      <c r="D61" s="27"/>
      <c r="E61" s="40"/>
    </row>
    <row r="62" spans="1:5" s="28" customFormat="1" x14ac:dyDescent="0.3">
      <c r="A62" s="27"/>
      <c r="B62" s="42"/>
      <c r="C62" s="27"/>
      <c r="D62" s="27"/>
      <c r="E62" s="40"/>
    </row>
    <row r="63" spans="1:5" s="28" customFormat="1" x14ac:dyDescent="0.3">
      <c r="A63" s="27"/>
      <c r="C63" s="27"/>
      <c r="D63" s="27"/>
    </row>
    <row r="64" spans="1:5" s="28" customFormat="1" x14ac:dyDescent="0.3">
      <c r="A64" s="27"/>
      <c r="C64" s="27"/>
      <c r="D64" s="27"/>
    </row>
    <row r="65" spans="1:4" s="28" customFormat="1" x14ac:dyDescent="0.3">
      <c r="A65" s="27"/>
      <c r="C65" s="27"/>
      <c r="D65" s="27"/>
    </row>
    <row r="66" spans="1:4" s="28" customFormat="1" x14ac:dyDescent="0.3">
      <c r="A66" s="27"/>
      <c r="C66" s="27"/>
      <c r="D66" s="27"/>
    </row>
    <row r="67" spans="1:4" s="28" customFormat="1" x14ac:dyDescent="0.3">
      <c r="A67" s="27"/>
      <c r="C67" s="27"/>
      <c r="D67" s="27"/>
    </row>
    <row r="68" spans="1:4" s="28" customFormat="1" x14ac:dyDescent="0.3">
      <c r="A68" s="27"/>
      <c r="C68" s="27"/>
      <c r="D68" s="27"/>
    </row>
    <row r="69" spans="1:4" s="28" customFormat="1" x14ac:dyDescent="0.3">
      <c r="A69" s="27"/>
      <c r="C69" s="27"/>
      <c r="D69" s="27"/>
    </row>
    <row r="70" spans="1:4" s="28" customFormat="1" x14ac:dyDescent="0.3">
      <c r="A70" s="27"/>
      <c r="C70" s="27"/>
      <c r="D70" s="27"/>
    </row>
    <row r="71" spans="1:4" s="28" customFormat="1" x14ac:dyDescent="0.3">
      <c r="A71" s="27"/>
      <c r="C71" s="27"/>
      <c r="D71" s="27"/>
    </row>
    <row r="72" spans="1:4" s="28" customFormat="1" x14ac:dyDescent="0.3">
      <c r="A72" s="27"/>
      <c r="C72" s="27"/>
      <c r="D72" s="27"/>
    </row>
    <row r="73" spans="1:4" s="28" customFormat="1" x14ac:dyDescent="0.3">
      <c r="A73" s="27"/>
      <c r="C73" s="27"/>
      <c r="D73" s="27"/>
    </row>
    <row r="74" spans="1:4" s="28" customFormat="1" x14ac:dyDescent="0.3">
      <c r="A74" s="27"/>
      <c r="C74" s="27"/>
      <c r="D74" s="27"/>
    </row>
    <row r="75" spans="1:4" s="28" customFormat="1" x14ac:dyDescent="0.3">
      <c r="A75" s="27"/>
      <c r="C75" s="27"/>
      <c r="D75" s="27"/>
    </row>
    <row r="76" spans="1:4" s="28" customFormat="1" x14ac:dyDescent="0.3">
      <c r="A76" s="27"/>
      <c r="C76" s="27"/>
      <c r="D76" s="27"/>
    </row>
    <row r="77" spans="1:4" s="28" customFormat="1" x14ac:dyDescent="0.3">
      <c r="A77" s="27"/>
      <c r="C77" s="27"/>
      <c r="D77" s="27"/>
    </row>
    <row r="78" spans="1:4" s="28" customFormat="1" x14ac:dyDescent="0.3">
      <c r="A78" s="27"/>
      <c r="C78" s="27"/>
      <c r="D78" s="27"/>
    </row>
    <row r="79" spans="1:4" s="28" customFormat="1" x14ac:dyDescent="0.3">
      <c r="A79" s="27"/>
      <c r="C79" s="27"/>
      <c r="D79" s="27"/>
    </row>
    <row r="80" spans="1:4" s="28" customFormat="1" x14ac:dyDescent="0.3">
      <c r="A80" s="27"/>
      <c r="C80" s="27"/>
      <c r="D80" s="27"/>
    </row>
    <row r="81" spans="1:4" s="28" customFormat="1" x14ac:dyDescent="0.3">
      <c r="A81" s="27"/>
      <c r="C81" s="27"/>
      <c r="D81" s="27"/>
    </row>
    <row r="82" spans="1:4" s="28" customFormat="1" x14ac:dyDescent="0.3">
      <c r="A82" s="27"/>
      <c r="C82" s="27"/>
      <c r="D82" s="27"/>
    </row>
    <row r="83" spans="1:4" s="28" customFormat="1" x14ac:dyDescent="0.3">
      <c r="A83" s="27"/>
      <c r="C83" s="27"/>
      <c r="D83" s="27"/>
    </row>
    <row r="84" spans="1:4" s="28" customFormat="1" x14ac:dyDescent="0.3">
      <c r="A84" s="27"/>
      <c r="C84" s="27"/>
      <c r="D84" s="27"/>
    </row>
    <row r="85" spans="1:4" s="28" customFormat="1" x14ac:dyDescent="0.3">
      <c r="A85" s="27"/>
      <c r="C85" s="27"/>
      <c r="D85" s="27"/>
    </row>
    <row r="86" spans="1:4" s="28" customFormat="1" x14ac:dyDescent="0.3">
      <c r="A86" s="27"/>
      <c r="C86" s="27"/>
      <c r="D86" s="27"/>
    </row>
    <row r="87" spans="1:4" s="28" customFormat="1" x14ac:dyDescent="0.3">
      <c r="A87" s="27"/>
      <c r="C87" s="27"/>
      <c r="D87" s="27"/>
    </row>
    <row r="88" spans="1:4" s="28" customFormat="1" x14ac:dyDescent="0.3">
      <c r="A88" s="27"/>
      <c r="C88" s="27"/>
      <c r="D88" s="27"/>
    </row>
    <row r="89" spans="1:4" s="28" customFormat="1" x14ac:dyDescent="0.3">
      <c r="A89" s="27"/>
      <c r="C89" s="27"/>
      <c r="D89" s="27"/>
    </row>
    <row r="90" spans="1:4" s="28" customFormat="1" x14ac:dyDescent="0.3">
      <c r="A90" s="27"/>
      <c r="C90" s="27"/>
      <c r="D90" s="27"/>
    </row>
    <row r="91" spans="1:4" s="28" customFormat="1" x14ac:dyDescent="0.3">
      <c r="A91" s="27"/>
      <c r="C91" s="27"/>
      <c r="D91" s="27"/>
    </row>
    <row r="92" spans="1:4" s="28" customFormat="1" x14ac:dyDescent="0.3">
      <c r="A92" s="27"/>
      <c r="C92" s="27"/>
      <c r="D92" s="27"/>
    </row>
    <row r="93" spans="1:4" s="28" customFormat="1" x14ac:dyDescent="0.3">
      <c r="A93" s="27"/>
      <c r="C93" s="27"/>
      <c r="D93" s="27"/>
    </row>
    <row r="94" spans="1:4" s="28" customFormat="1" x14ac:dyDescent="0.3">
      <c r="A94" s="27"/>
      <c r="C94" s="27"/>
      <c r="D94" s="27"/>
    </row>
    <row r="95" spans="1:4" s="28" customFormat="1" x14ac:dyDescent="0.3">
      <c r="A95" s="27"/>
      <c r="C95" s="27"/>
      <c r="D95" s="27"/>
    </row>
    <row r="96" spans="1:4" s="28" customFormat="1" x14ac:dyDescent="0.3">
      <c r="A96" s="27"/>
      <c r="C96" s="27"/>
      <c r="D96" s="27"/>
    </row>
  </sheetData>
  <mergeCells count="5">
    <mergeCell ref="A4:D4"/>
    <mergeCell ref="E4:I4"/>
    <mergeCell ref="B1:D1"/>
    <mergeCell ref="B2:D2"/>
    <mergeCell ref="B3:D3"/>
  </mergeCells>
  <phoneticPr fontId="1" type="noConversion"/>
  <dataValidations count="1">
    <dataValidation type="list" allowBlank="1" showInputMessage="1" showErrorMessage="1" sqref="E6:E20" xr:uid="{00000000-0002-0000-0400-000000000000}">
      <formula1>"Passed,Failed,Not Run,Blocked"</formula1>
    </dataValidation>
  </dataValidations>
  <pageMargins left="0.23622047244094491" right="0.23622047244094491" top="0.47244094488188981" bottom="0.47244094488188981" header="0.31496062992125984" footer="0.31496062992125984"/>
  <pageSetup paperSize="8" scale="48" orientation="portrait"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fitToPage="1"/>
  </sheetPr>
  <dimension ref="A1:J64"/>
  <sheetViews>
    <sheetView topLeftCell="A12" workbookViewId="0">
      <selection activeCell="I18" sqref="A1:I18"/>
    </sheetView>
  </sheetViews>
  <sheetFormatPr defaultColWidth="9.109375" defaultRowHeight="13.8" x14ac:dyDescent="0.3"/>
  <cols>
    <col min="1" max="1" width="7.88671875" style="29" customWidth="1"/>
    <col min="2" max="2" width="29.5546875" style="30" customWidth="1"/>
    <col min="3" max="3" width="16.44140625" style="29" customWidth="1"/>
    <col min="4" max="4" width="17.33203125" style="29" customWidth="1"/>
    <col min="5" max="5" width="22.6640625" style="30" customWidth="1"/>
    <col min="6" max="6" width="38.5546875" style="30" customWidth="1"/>
    <col min="7" max="7" width="11.109375" style="30" customWidth="1"/>
    <col min="8" max="8" width="16" style="30" customWidth="1"/>
    <col min="9" max="9" width="14.6640625" style="30" customWidth="1"/>
    <col min="10" max="16384" width="9.109375" style="30"/>
  </cols>
  <sheetData>
    <row r="1" spans="1:10" s="5" customFormat="1" ht="18.600000000000001" thickBot="1" x14ac:dyDescent="0.3">
      <c r="A1" s="6" t="s">
        <v>12</v>
      </c>
      <c r="B1" s="90" t="str">
        <f>'List of Tests'!B2</f>
        <v>Test</v>
      </c>
      <c r="C1" s="91"/>
      <c r="D1" s="92"/>
      <c r="E1" s="4"/>
      <c r="F1" s="4"/>
      <c r="G1" s="4"/>
      <c r="H1" s="4"/>
      <c r="I1" s="4"/>
    </row>
    <row r="2" spans="1:10" s="5" customFormat="1" x14ac:dyDescent="0.25">
      <c r="A2" s="6" t="s">
        <v>11</v>
      </c>
      <c r="B2" s="93" t="str">
        <f ca="1">INDIRECT("'List of Tests'!B"&amp;(MID(CELL("filename",A1),FIND("]TC",CELL("filename",A1),1)+3,9999)+3))</f>
        <v>Settings page - Business Logic</v>
      </c>
      <c r="C2" s="97"/>
      <c r="D2" s="97"/>
      <c r="E2" s="7" t="s">
        <v>25</v>
      </c>
      <c r="F2" s="7" t="str">
        <f>IF(COUNTIF($E$6:$E$964,"Failed")&gt;0,"Failed",IF(COUNTIF($E$6:$E$964,"Blocked")&gt;0,"Blocked",IF(COUNTIF($E$6:$E$964,"Not Run")&gt;0,"Not Run",IF(COUNTIF($E$6:$E$964,"Passed")&gt;0,"Passed","Not Run"))))</f>
        <v>Failed</v>
      </c>
      <c r="G2" s="4"/>
      <c r="H2" s="4"/>
      <c r="I2" s="4"/>
    </row>
    <row r="3" spans="1:10" s="5" customFormat="1" x14ac:dyDescent="0.3">
      <c r="A3" s="6" t="s">
        <v>23</v>
      </c>
      <c r="B3" s="95" t="str">
        <f ca="1">INDIRECT("'List of Tests'!C"&amp;(MID(CELL("filename",A1),FIND("]TC",CELL("filename",A1),1)+3,9999)+3))</f>
        <v>Test if Business logic page is functioning correctly</v>
      </c>
      <c r="C3" s="98"/>
      <c r="D3" s="99"/>
      <c r="E3" s="9"/>
      <c r="F3" s="9"/>
      <c r="G3" s="9"/>
      <c r="H3" s="9"/>
      <c r="I3" s="9"/>
    </row>
    <row r="4" spans="1:10" x14ac:dyDescent="0.3">
      <c r="A4" s="100" t="s">
        <v>6</v>
      </c>
      <c r="B4" s="101"/>
      <c r="C4" s="101"/>
      <c r="D4" s="102"/>
      <c r="E4" s="103" t="s">
        <v>7</v>
      </c>
      <c r="F4" s="104"/>
      <c r="G4" s="104"/>
      <c r="H4" s="104"/>
      <c r="I4" s="105"/>
    </row>
    <row r="5" spans="1:10" s="15" customFormat="1" ht="27.6" x14ac:dyDescent="0.25">
      <c r="A5" s="11" t="s">
        <v>24</v>
      </c>
      <c r="B5" s="11" t="s">
        <v>1</v>
      </c>
      <c r="C5" s="11" t="s">
        <v>0</v>
      </c>
      <c r="D5" s="12" t="s">
        <v>2</v>
      </c>
      <c r="E5" s="13" t="s">
        <v>3</v>
      </c>
      <c r="F5" s="11" t="s">
        <v>4</v>
      </c>
      <c r="G5" s="14" t="s">
        <v>19</v>
      </c>
      <c r="H5" s="11" t="s">
        <v>8</v>
      </c>
      <c r="I5" s="14" t="s">
        <v>22</v>
      </c>
    </row>
    <row r="6" spans="1:10" s="21" customFormat="1" ht="54" customHeight="1" x14ac:dyDescent="0.25">
      <c r="A6" s="32">
        <v>1</v>
      </c>
      <c r="B6" s="33" t="s">
        <v>151</v>
      </c>
      <c r="C6" s="33"/>
      <c r="D6" s="34" t="s">
        <v>152</v>
      </c>
      <c r="E6" s="31" t="s">
        <v>50</v>
      </c>
      <c r="F6" s="23" t="s">
        <v>152</v>
      </c>
      <c r="G6" s="22" t="s">
        <v>56</v>
      </c>
      <c r="H6" s="23" t="s">
        <v>53</v>
      </c>
      <c r="I6" s="23"/>
      <c r="J6" s="24"/>
    </row>
    <row r="7" spans="1:10" s="21" customFormat="1" ht="57" customHeight="1" x14ac:dyDescent="0.25">
      <c r="A7" s="16">
        <v>2</v>
      </c>
      <c r="B7" s="23" t="s">
        <v>153</v>
      </c>
      <c r="C7" s="23"/>
      <c r="D7" s="34" t="s">
        <v>154</v>
      </c>
      <c r="E7" s="20" t="s">
        <v>50</v>
      </c>
      <c r="F7" s="23" t="s">
        <v>154</v>
      </c>
      <c r="G7" s="22" t="s">
        <v>56</v>
      </c>
      <c r="H7" s="23" t="s">
        <v>53</v>
      </c>
      <c r="I7" s="23"/>
      <c r="J7" s="24"/>
    </row>
    <row r="8" spans="1:10" s="21" customFormat="1" ht="52.5" customHeight="1" x14ac:dyDescent="0.25">
      <c r="A8" s="32">
        <v>3</v>
      </c>
      <c r="B8" s="23" t="s">
        <v>153</v>
      </c>
      <c r="C8" s="33" t="s">
        <v>155</v>
      </c>
      <c r="D8" s="34" t="s">
        <v>156</v>
      </c>
      <c r="E8" s="49" t="s">
        <v>50</v>
      </c>
      <c r="F8" s="50" t="s">
        <v>157</v>
      </c>
      <c r="G8" s="22" t="s">
        <v>56</v>
      </c>
      <c r="H8" s="23" t="s">
        <v>53</v>
      </c>
      <c r="I8" s="50"/>
      <c r="J8" s="24"/>
    </row>
    <row r="9" spans="1:10" s="21" customFormat="1" ht="42" customHeight="1" x14ac:dyDescent="0.25">
      <c r="A9" s="16">
        <v>4</v>
      </c>
      <c r="B9" s="23" t="s">
        <v>153</v>
      </c>
      <c r="C9" s="33" t="s">
        <v>158</v>
      </c>
      <c r="D9" s="34" t="s">
        <v>54</v>
      </c>
      <c r="E9" s="49" t="s">
        <v>50</v>
      </c>
      <c r="F9" s="50" t="s">
        <v>159</v>
      </c>
      <c r="G9" s="22" t="s">
        <v>56</v>
      </c>
      <c r="H9" s="23" t="s">
        <v>53</v>
      </c>
      <c r="I9" s="50"/>
      <c r="J9" s="24"/>
    </row>
    <row r="10" spans="1:10" s="21" customFormat="1" ht="51" customHeight="1" x14ac:dyDescent="0.25">
      <c r="A10" s="32">
        <v>5</v>
      </c>
      <c r="B10" s="33" t="s">
        <v>160</v>
      </c>
      <c r="C10" s="23"/>
      <c r="D10" s="34" t="s">
        <v>154</v>
      </c>
      <c r="E10" s="49" t="s">
        <v>50</v>
      </c>
      <c r="F10" s="50" t="s">
        <v>154</v>
      </c>
      <c r="G10" s="22" t="s">
        <v>56</v>
      </c>
      <c r="H10" s="23" t="s">
        <v>53</v>
      </c>
      <c r="I10" s="50"/>
      <c r="J10" s="24"/>
    </row>
    <row r="11" spans="1:10" s="21" customFormat="1" ht="27.6" x14ac:dyDescent="0.25">
      <c r="A11" s="32">
        <v>6</v>
      </c>
      <c r="B11" s="23" t="s">
        <v>160</v>
      </c>
      <c r="C11" s="35" t="s">
        <v>158</v>
      </c>
      <c r="D11" s="36" t="s">
        <v>54</v>
      </c>
      <c r="E11" s="31" t="s">
        <v>50</v>
      </c>
      <c r="F11" s="23" t="s">
        <v>159</v>
      </c>
      <c r="G11" s="22" t="s">
        <v>56</v>
      </c>
      <c r="H11" s="23" t="s">
        <v>53</v>
      </c>
      <c r="I11" s="23"/>
      <c r="J11" s="24"/>
    </row>
    <row r="12" spans="1:10" s="21" customFormat="1" ht="27.6" x14ac:dyDescent="0.25">
      <c r="A12" s="16">
        <v>7</v>
      </c>
      <c r="B12" s="23" t="s">
        <v>160</v>
      </c>
      <c r="C12" s="35" t="s">
        <v>161</v>
      </c>
      <c r="D12" s="36" t="s">
        <v>54</v>
      </c>
      <c r="E12" s="31" t="s">
        <v>55</v>
      </c>
      <c r="F12" s="23" t="s">
        <v>154</v>
      </c>
      <c r="G12" s="22" t="s">
        <v>56</v>
      </c>
      <c r="H12" s="23" t="s">
        <v>53</v>
      </c>
      <c r="I12" s="23">
        <v>13</v>
      </c>
      <c r="J12" s="24"/>
    </row>
    <row r="13" spans="1:10" s="21" customFormat="1" ht="27.6" x14ac:dyDescent="0.25">
      <c r="A13" s="32">
        <v>8</v>
      </c>
      <c r="B13" s="17" t="s">
        <v>162</v>
      </c>
      <c r="C13" s="23" t="s">
        <v>64</v>
      </c>
      <c r="D13" s="26" t="s">
        <v>163</v>
      </c>
      <c r="E13" s="20" t="s">
        <v>50</v>
      </c>
      <c r="F13" s="23" t="s">
        <v>163</v>
      </c>
      <c r="G13" s="22" t="s">
        <v>56</v>
      </c>
      <c r="H13" s="23" t="s">
        <v>53</v>
      </c>
      <c r="I13" s="23"/>
      <c r="J13" s="24"/>
    </row>
    <row r="14" spans="1:10" s="21" customFormat="1" ht="27.6" x14ac:dyDescent="0.25">
      <c r="A14" s="32">
        <v>9</v>
      </c>
      <c r="B14" s="33" t="s">
        <v>162</v>
      </c>
      <c r="C14" s="35" t="s">
        <v>164</v>
      </c>
      <c r="D14" s="36" t="s">
        <v>54</v>
      </c>
      <c r="E14" s="31" t="s">
        <v>55</v>
      </c>
      <c r="F14" s="23" t="s">
        <v>163</v>
      </c>
      <c r="G14" s="22" t="s">
        <v>56</v>
      </c>
      <c r="H14" s="23" t="s">
        <v>53</v>
      </c>
      <c r="I14" s="23">
        <v>14</v>
      </c>
      <c r="J14" s="24"/>
    </row>
    <row r="15" spans="1:10" s="21" customFormat="1" ht="27.6" x14ac:dyDescent="0.25">
      <c r="A15" s="16">
        <v>10</v>
      </c>
      <c r="B15" s="17" t="s">
        <v>153</v>
      </c>
      <c r="C15" s="23" t="s">
        <v>164</v>
      </c>
      <c r="D15" s="26" t="s">
        <v>54</v>
      </c>
      <c r="E15" s="20" t="s">
        <v>55</v>
      </c>
      <c r="F15" s="23" t="s">
        <v>154</v>
      </c>
      <c r="G15" s="22" t="s">
        <v>56</v>
      </c>
      <c r="H15" s="23" t="s">
        <v>53</v>
      </c>
      <c r="I15" s="23">
        <v>15</v>
      </c>
      <c r="J15" s="24"/>
    </row>
    <row r="16" spans="1:10" s="21" customFormat="1" ht="27.6" x14ac:dyDescent="0.25">
      <c r="A16" s="32">
        <v>11</v>
      </c>
      <c r="B16" s="33" t="s">
        <v>165</v>
      </c>
      <c r="C16" s="35" t="s">
        <v>166</v>
      </c>
      <c r="D16" s="36" t="s">
        <v>154</v>
      </c>
      <c r="E16" s="20" t="s">
        <v>50</v>
      </c>
      <c r="F16" s="23" t="s">
        <v>154</v>
      </c>
      <c r="G16" s="22" t="s">
        <v>56</v>
      </c>
      <c r="H16" s="23" t="s">
        <v>53</v>
      </c>
      <c r="I16" s="23"/>
      <c r="J16" s="24"/>
    </row>
    <row r="17" spans="1:10" s="21" customFormat="1" ht="27.6" x14ac:dyDescent="0.25">
      <c r="A17" s="32">
        <v>12</v>
      </c>
      <c r="B17" s="33" t="s">
        <v>165</v>
      </c>
      <c r="C17" s="35" t="s">
        <v>164</v>
      </c>
      <c r="D17" s="36" t="s">
        <v>54</v>
      </c>
      <c r="E17" s="20" t="s">
        <v>55</v>
      </c>
      <c r="F17" s="23" t="s">
        <v>154</v>
      </c>
      <c r="G17" s="22" t="s">
        <v>56</v>
      </c>
      <c r="H17" s="23" t="s">
        <v>53</v>
      </c>
      <c r="I17" s="23">
        <v>16</v>
      </c>
      <c r="J17" s="24"/>
    </row>
    <row r="18" spans="1:10" s="21" customFormat="1" ht="27.6" x14ac:dyDescent="0.25">
      <c r="A18" s="32">
        <v>13</v>
      </c>
      <c r="B18" s="33" t="s">
        <v>167</v>
      </c>
      <c r="C18" s="35"/>
      <c r="D18" s="36" t="s">
        <v>168</v>
      </c>
      <c r="E18" s="20" t="s">
        <v>50</v>
      </c>
      <c r="F18" s="23" t="s">
        <v>169</v>
      </c>
      <c r="G18" s="22" t="s">
        <v>56</v>
      </c>
      <c r="H18" s="23" t="s">
        <v>53</v>
      </c>
      <c r="I18" s="23"/>
      <c r="J18" s="24"/>
    </row>
    <row r="19" spans="1:10" s="21" customFormat="1" x14ac:dyDescent="0.25">
      <c r="A19" s="32"/>
      <c r="B19" s="33"/>
      <c r="C19" s="35"/>
      <c r="D19" s="36"/>
      <c r="E19" s="20"/>
      <c r="F19" s="23"/>
      <c r="G19" s="22"/>
      <c r="H19" s="23"/>
      <c r="I19" s="23"/>
      <c r="J19" s="24"/>
    </row>
    <row r="20" spans="1:10" s="21" customFormat="1" x14ac:dyDescent="0.25">
      <c r="A20" s="16"/>
      <c r="B20" s="17"/>
      <c r="C20" s="23"/>
      <c r="D20" s="26"/>
      <c r="E20" s="20"/>
      <c r="F20" s="23"/>
      <c r="G20" s="22"/>
      <c r="H20" s="23"/>
      <c r="I20" s="23"/>
      <c r="J20" s="24"/>
    </row>
    <row r="21" spans="1:10" s="28" customFormat="1" x14ac:dyDescent="0.3">
      <c r="A21" s="27"/>
      <c r="B21" s="30"/>
      <c r="C21" s="43"/>
      <c r="D21" s="27"/>
      <c r="E21" s="40"/>
      <c r="G21" s="41"/>
    </row>
    <row r="22" spans="1:10" s="28" customFormat="1" x14ac:dyDescent="0.3">
      <c r="A22" s="27"/>
      <c r="C22" s="27"/>
      <c r="D22" s="27"/>
      <c r="E22" s="40"/>
      <c r="G22" s="41"/>
    </row>
    <row r="23" spans="1:10" s="28" customFormat="1" x14ac:dyDescent="0.3">
      <c r="A23" s="27"/>
      <c r="C23" s="27"/>
      <c r="D23" s="27"/>
      <c r="E23" s="40"/>
      <c r="G23" s="41"/>
    </row>
    <row r="24" spans="1:10" s="28" customFormat="1" x14ac:dyDescent="0.3">
      <c r="A24" s="27"/>
      <c r="C24" s="27"/>
      <c r="D24" s="27"/>
      <c r="E24" s="40"/>
      <c r="G24" s="41"/>
    </row>
    <row r="25" spans="1:10" s="28" customFormat="1" x14ac:dyDescent="0.3">
      <c r="A25" s="27"/>
      <c r="C25" s="27"/>
      <c r="D25" s="27"/>
    </row>
    <row r="26" spans="1:10" s="28" customFormat="1" x14ac:dyDescent="0.3">
      <c r="A26" s="27"/>
      <c r="C26" s="27"/>
      <c r="D26" s="27"/>
    </row>
    <row r="27" spans="1:10" s="28" customFormat="1" x14ac:dyDescent="0.3">
      <c r="A27" s="27"/>
      <c r="C27" s="27"/>
      <c r="D27" s="27"/>
    </row>
    <row r="28" spans="1:10" s="28" customFormat="1" x14ac:dyDescent="0.3">
      <c r="A28" s="27"/>
      <c r="C28" s="27"/>
      <c r="D28" s="27"/>
    </row>
    <row r="29" spans="1:10" s="28" customFormat="1" x14ac:dyDescent="0.3">
      <c r="A29" s="27"/>
      <c r="C29" s="27"/>
      <c r="D29" s="27"/>
    </row>
    <row r="30" spans="1:10" s="28" customFormat="1" x14ac:dyDescent="0.3">
      <c r="A30" s="27"/>
      <c r="C30" s="27"/>
      <c r="D30" s="27"/>
    </row>
    <row r="31" spans="1:10" s="28" customFormat="1" x14ac:dyDescent="0.3">
      <c r="A31" s="27"/>
      <c r="C31" s="27"/>
      <c r="D31" s="27"/>
    </row>
    <row r="32" spans="1:10" s="28" customFormat="1" x14ac:dyDescent="0.3">
      <c r="A32" s="27"/>
      <c r="C32" s="27"/>
      <c r="D32" s="27"/>
    </row>
    <row r="33" spans="1:4" s="28" customFormat="1" x14ac:dyDescent="0.3">
      <c r="A33" s="27"/>
      <c r="C33" s="27"/>
      <c r="D33" s="27"/>
    </row>
    <row r="34" spans="1:4" s="28" customFormat="1" x14ac:dyDescent="0.3">
      <c r="A34" s="27"/>
      <c r="C34" s="27"/>
      <c r="D34" s="27"/>
    </row>
    <row r="35" spans="1:4" s="28" customFormat="1" x14ac:dyDescent="0.3">
      <c r="A35" s="27"/>
      <c r="C35" s="27"/>
      <c r="D35" s="27"/>
    </row>
    <row r="36" spans="1:4" s="28" customFormat="1" x14ac:dyDescent="0.3">
      <c r="A36" s="27"/>
      <c r="C36" s="27"/>
      <c r="D36" s="27"/>
    </row>
    <row r="37" spans="1:4" s="28" customFormat="1" x14ac:dyDescent="0.3">
      <c r="A37" s="27"/>
      <c r="C37" s="27"/>
      <c r="D37" s="27"/>
    </row>
    <row r="38" spans="1:4" s="28" customFormat="1" x14ac:dyDescent="0.3">
      <c r="A38" s="27"/>
      <c r="C38" s="27"/>
      <c r="D38" s="27"/>
    </row>
    <row r="39" spans="1:4" s="28" customFormat="1" x14ac:dyDescent="0.3">
      <c r="A39" s="27"/>
      <c r="C39" s="27"/>
      <c r="D39" s="27"/>
    </row>
    <row r="40" spans="1:4" s="28" customFormat="1" x14ac:dyDescent="0.3">
      <c r="A40" s="27"/>
      <c r="C40" s="27"/>
      <c r="D40" s="27"/>
    </row>
    <row r="41" spans="1:4" s="28" customFormat="1" x14ac:dyDescent="0.3">
      <c r="A41" s="27"/>
      <c r="C41" s="27"/>
      <c r="D41" s="27"/>
    </row>
    <row r="42" spans="1:4" s="28" customFormat="1" x14ac:dyDescent="0.3">
      <c r="A42" s="27"/>
      <c r="C42" s="27"/>
      <c r="D42" s="27"/>
    </row>
    <row r="43" spans="1:4" s="28" customFormat="1" x14ac:dyDescent="0.3">
      <c r="A43" s="27"/>
      <c r="C43" s="27"/>
      <c r="D43" s="27"/>
    </row>
    <row r="44" spans="1:4" s="28" customFormat="1" x14ac:dyDescent="0.3">
      <c r="A44" s="27"/>
      <c r="C44" s="27"/>
      <c r="D44" s="27"/>
    </row>
    <row r="45" spans="1:4" s="28" customFormat="1" x14ac:dyDescent="0.3">
      <c r="A45" s="27"/>
      <c r="C45" s="27"/>
      <c r="D45" s="27"/>
    </row>
    <row r="46" spans="1:4" s="28" customFormat="1" x14ac:dyDescent="0.3">
      <c r="A46" s="27"/>
      <c r="C46" s="27"/>
      <c r="D46" s="27"/>
    </row>
    <row r="47" spans="1:4" s="28" customFormat="1" x14ac:dyDescent="0.3">
      <c r="A47" s="27"/>
      <c r="C47" s="27"/>
      <c r="D47" s="27"/>
    </row>
    <row r="48" spans="1:4" s="28" customFormat="1" x14ac:dyDescent="0.3">
      <c r="A48" s="27"/>
      <c r="C48" s="27"/>
      <c r="D48" s="27"/>
    </row>
    <row r="49" spans="1:4" s="28" customFormat="1" x14ac:dyDescent="0.3">
      <c r="A49" s="27"/>
      <c r="C49" s="27"/>
      <c r="D49" s="27"/>
    </row>
    <row r="50" spans="1:4" s="28" customFormat="1" x14ac:dyDescent="0.3">
      <c r="A50" s="27"/>
      <c r="C50" s="27"/>
      <c r="D50" s="27"/>
    </row>
    <row r="51" spans="1:4" s="28" customFormat="1" x14ac:dyDescent="0.3">
      <c r="A51" s="27"/>
      <c r="C51" s="27"/>
      <c r="D51" s="27"/>
    </row>
    <row r="52" spans="1:4" s="28" customFormat="1" x14ac:dyDescent="0.3">
      <c r="A52" s="27"/>
      <c r="C52" s="27"/>
      <c r="D52" s="27"/>
    </row>
    <row r="53" spans="1:4" s="28" customFormat="1" x14ac:dyDescent="0.3">
      <c r="A53" s="27"/>
      <c r="C53" s="27"/>
      <c r="D53" s="27"/>
    </row>
    <row r="54" spans="1:4" s="28" customFormat="1" x14ac:dyDescent="0.3">
      <c r="A54" s="27"/>
      <c r="C54" s="27"/>
      <c r="D54" s="27"/>
    </row>
    <row r="55" spans="1:4" s="28" customFormat="1" x14ac:dyDescent="0.3">
      <c r="A55" s="27"/>
      <c r="C55" s="27"/>
      <c r="D55" s="27"/>
    </row>
    <row r="56" spans="1:4" s="28" customFormat="1" x14ac:dyDescent="0.3">
      <c r="A56" s="27"/>
      <c r="C56" s="27"/>
      <c r="D56" s="27"/>
    </row>
    <row r="57" spans="1:4" s="28" customFormat="1" x14ac:dyDescent="0.3">
      <c r="A57" s="27"/>
      <c r="C57" s="27"/>
      <c r="D57" s="27"/>
    </row>
    <row r="58" spans="1:4" s="28" customFormat="1" x14ac:dyDescent="0.3">
      <c r="A58" s="27"/>
      <c r="C58" s="27"/>
      <c r="D58" s="27"/>
    </row>
    <row r="59" spans="1:4" s="28" customFormat="1" x14ac:dyDescent="0.3">
      <c r="A59" s="27"/>
      <c r="C59" s="27"/>
      <c r="D59" s="27"/>
    </row>
    <row r="60" spans="1:4" s="28" customFormat="1" x14ac:dyDescent="0.3">
      <c r="A60" s="27"/>
      <c r="C60" s="27"/>
      <c r="D60" s="27"/>
    </row>
    <row r="61" spans="1:4" s="28" customFormat="1" x14ac:dyDescent="0.3">
      <c r="A61" s="27"/>
      <c r="C61" s="27"/>
      <c r="D61" s="27"/>
    </row>
    <row r="62" spans="1:4" s="28" customFormat="1" x14ac:dyDescent="0.3">
      <c r="A62" s="27"/>
      <c r="C62" s="27"/>
      <c r="D62" s="27"/>
    </row>
    <row r="63" spans="1:4" s="28" customFormat="1" x14ac:dyDescent="0.3">
      <c r="A63" s="27"/>
      <c r="C63" s="27"/>
      <c r="D63" s="27"/>
    </row>
    <row r="64" spans="1:4" s="28" customFormat="1" x14ac:dyDescent="0.3">
      <c r="A64" s="27"/>
      <c r="C64" s="27"/>
      <c r="D64" s="27"/>
    </row>
  </sheetData>
  <mergeCells count="5">
    <mergeCell ref="B1:D1"/>
    <mergeCell ref="B2:D2"/>
    <mergeCell ref="B3:D3"/>
    <mergeCell ref="A4:D4"/>
    <mergeCell ref="E4:I4"/>
  </mergeCells>
  <dataValidations count="1">
    <dataValidation type="list" allowBlank="1" showInputMessage="1" showErrorMessage="1" sqref="E6:E20" xr:uid="{00000000-0002-0000-0500-000000000000}">
      <formula1>"Passed,Failed,Not Run,Blocked"</formula1>
    </dataValidation>
  </dataValidations>
  <pageMargins left="0.23622047244094491" right="0.23622047244094491" top="0.47244094488188981" bottom="0.47244094488188981" header="0.31496062992125984" footer="0.31496062992125984"/>
  <pageSetup paperSize="8" scale="48" orientation="portrait"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DB4916-7588-4EF8-AF6D-BB696E287A61}">
  <sheetPr codeName="Sheet14">
    <pageSetUpPr fitToPage="1"/>
  </sheetPr>
  <dimension ref="A1:J64"/>
  <sheetViews>
    <sheetView topLeftCell="A8" workbookViewId="0">
      <selection activeCell="I12" sqref="I12"/>
    </sheetView>
  </sheetViews>
  <sheetFormatPr defaultColWidth="9.109375" defaultRowHeight="13.8" x14ac:dyDescent="0.3"/>
  <cols>
    <col min="1" max="1" width="7.88671875" style="29" customWidth="1"/>
    <col min="2" max="2" width="29.5546875" style="30" customWidth="1"/>
    <col min="3" max="3" width="16.44140625" style="29" customWidth="1"/>
    <col min="4" max="4" width="17.33203125" style="29" customWidth="1"/>
    <col min="5" max="5" width="22.6640625" style="30" customWidth="1"/>
    <col min="6" max="6" width="38.5546875" style="30" customWidth="1"/>
    <col min="7" max="7" width="11.109375" style="30" customWidth="1"/>
    <col min="8" max="8" width="16" style="30" customWidth="1"/>
    <col min="9" max="9" width="14.6640625" style="30" customWidth="1"/>
    <col min="10" max="16384" width="9.109375" style="30"/>
  </cols>
  <sheetData>
    <row r="1" spans="1:10" s="5" customFormat="1" ht="18.600000000000001" thickBot="1" x14ac:dyDescent="0.3">
      <c r="A1" s="6" t="s">
        <v>12</v>
      </c>
      <c r="B1" s="90" t="str">
        <f>'List of Tests'!B2</f>
        <v>Test</v>
      </c>
      <c r="C1" s="91"/>
      <c r="D1" s="92"/>
      <c r="E1" s="4"/>
      <c r="F1" s="4"/>
      <c r="G1" s="4"/>
      <c r="H1" s="4"/>
      <c r="I1" s="4"/>
    </row>
    <row r="2" spans="1:10" s="5" customFormat="1" x14ac:dyDescent="0.25">
      <c r="A2" s="6" t="s">
        <v>11</v>
      </c>
      <c r="B2" s="93" t="str">
        <f ca="1">INDIRECT("'List of Tests'!B"&amp;(MID(CELL("filename",A1),FIND("]TC",CELL("filename",A1),1)+3,9999)+3))</f>
        <v>Settings page - Legal Contents</v>
      </c>
      <c r="C2" s="97"/>
      <c r="D2" s="97"/>
      <c r="E2" s="7" t="s">
        <v>25</v>
      </c>
      <c r="F2" s="7" t="str">
        <f>IF(COUNTIF($E$6:$E$964,"Failed")&gt;0,"Failed",IF(COUNTIF($E$6:$E$964,"Blocked")&gt;0,"Blocked",IF(COUNTIF($E$6:$E$964,"Not Run")&gt;0,"Not Run",IF(COUNTIF($E$6:$E$964,"Passed")&gt;0,"Passed","Not Run"))))</f>
        <v>Failed</v>
      </c>
      <c r="G2" s="4"/>
      <c r="H2" s="4"/>
      <c r="I2" s="4"/>
    </row>
    <row r="3" spans="1:10" s="5" customFormat="1" x14ac:dyDescent="0.3">
      <c r="A3" s="6" t="s">
        <v>23</v>
      </c>
      <c r="B3" s="95" t="str">
        <f ca="1">INDIRECT("'List of Tests'!C"&amp;(MID(CELL("filename",A1),FIND("]TC",CELL("filename",A1),1)+3,9999)+3))</f>
        <v>Test if Legal Contents page is functioning correctly</v>
      </c>
      <c r="C3" s="98"/>
      <c r="D3" s="99"/>
      <c r="E3" s="9"/>
      <c r="F3" s="9"/>
      <c r="G3" s="9"/>
      <c r="H3" s="9"/>
      <c r="I3" s="9"/>
    </row>
    <row r="4" spans="1:10" x14ac:dyDescent="0.3">
      <c r="A4" s="100" t="s">
        <v>6</v>
      </c>
      <c r="B4" s="101"/>
      <c r="C4" s="101"/>
      <c r="D4" s="102"/>
      <c r="E4" s="103" t="s">
        <v>7</v>
      </c>
      <c r="F4" s="104"/>
      <c r="G4" s="104"/>
      <c r="H4" s="104"/>
      <c r="I4" s="105"/>
    </row>
    <row r="5" spans="1:10" s="15" customFormat="1" ht="27.6" x14ac:dyDescent="0.25">
      <c r="A5" s="11" t="s">
        <v>24</v>
      </c>
      <c r="B5" s="11" t="s">
        <v>1</v>
      </c>
      <c r="C5" s="11" t="s">
        <v>0</v>
      </c>
      <c r="D5" s="12" t="s">
        <v>2</v>
      </c>
      <c r="E5" s="13" t="s">
        <v>3</v>
      </c>
      <c r="F5" s="11" t="s">
        <v>4</v>
      </c>
      <c r="G5" s="14" t="s">
        <v>19</v>
      </c>
      <c r="H5" s="11" t="s">
        <v>8</v>
      </c>
      <c r="I5" s="14" t="s">
        <v>22</v>
      </c>
    </row>
    <row r="6" spans="1:10" s="21" customFormat="1" ht="54" customHeight="1" x14ac:dyDescent="0.25">
      <c r="A6" s="32">
        <v>1</v>
      </c>
      <c r="B6" s="33" t="s">
        <v>175</v>
      </c>
      <c r="C6" s="33" t="s">
        <v>176</v>
      </c>
      <c r="D6" s="34" t="s">
        <v>177</v>
      </c>
      <c r="E6" s="31" t="s">
        <v>50</v>
      </c>
      <c r="F6" s="23" t="s">
        <v>177</v>
      </c>
      <c r="G6" s="22" t="s">
        <v>56</v>
      </c>
      <c r="H6" s="23" t="s">
        <v>53</v>
      </c>
      <c r="I6" s="23"/>
      <c r="J6" s="24"/>
    </row>
    <row r="7" spans="1:10" s="21" customFormat="1" ht="57" customHeight="1" x14ac:dyDescent="0.25">
      <c r="A7" s="16">
        <v>2</v>
      </c>
      <c r="B7" s="23" t="s">
        <v>178</v>
      </c>
      <c r="C7" s="23" t="s">
        <v>179</v>
      </c>
      <c r="D7" s="34" t="s">
        <v>180</v>
      </c>
      <c r="E7" s="20" t="s">
        <v>50</v>
      </c>
      <c r="F7" s="23" t="s">
        <v>180</v>
      </c>
      <c r="G7" s="22" t="s">
        <v>56</v>
      </c>
      <c r="H7" s="23" t="s">
        <v>53</v>
      </c>
      <c r="I7" s="23"/>
      <c r="J7" s="24"/>
    </row>
    <row r="8" spans="1:10" s="21" customFormat="1" ht="52.5" customHeight="1" x14ac:dyDescent="0.25">
      <c r="A8" s="32">
        <v>3</v>
      </c>
      <c r="B8" s="23" t="s">
        <v>181</v>
      </c>
      <c r="C8" s="33" t="s">
        <v>182</v>
      </c>
      <c r="D8" s="34" t="s">
        <v>183</v>
      </c>
      <c r="E8" s="49" t="s">
        <v>50</v>
      </c>
      <c r="F8" s="34" t="s">
        <v>183</v>
      </c>
      <c r="G8" s="22" t="s">
        <v>56</v>
      </c>
      <c r="H8" s="23" t="s">
        <v>53</v>
      </c>
      <c r="I8" s="50"/>
      <c r="J8" s="24"/>
    </row>
    <row r="9" spans="1:10" s="21" customFormat="1" ht="42" customHeight="1" x14ac:dyDescent="0.25">
      <c r="A9" s="16">
        <v>4</v>
      </c>
      <c r="B9" s="33" t="s">
        <v>175</v>
      </c>
      <c r="C9" s="33" t="s">
        <v>185</v>
      </c>
      <c r="D9" s="34" t="s">
        <v>187</v>
      </c>
      <c r="E9" s="49" t="s">
        <v>50</v>
      </c>
      <c r="F9" s="50" t="s">
        <v>190</v>
      </c>
      <c r="G9" s="22" t="s">
        <v>56</v>
      </c>
      <c r="H9" s="23" t="s">
        <v>53</v>
      </c>
      <c r="I9" s="50"/>
      <c r="J9" s="24"/>
    </row>
    <row r="10" spans="1:10" s="21" customFormat="1" ht="51" customHeight="1" x14ac:dyDescent="0.25">
      <c r="A10" s="32">
        <v>5</v>
      </c>
      <c r="B10" s="23" t="s">
        <v>178</v>
      </c>
      <c r="C10" s="23" t="s">
        <v>184</v>
      </c>
      <c r="D10" s="34" t="s">
        <v>188</v>
      </c>
      <c r="E10" s="49" t="s">
        <v>50</v>
      </c>
      <c r="F10" s="50" t="s">
        <v>191</v>
      </c>
      <c r="G10" s="22" t="s">
        <v>56</v>
      </c>
      <c r="H10" s="23" t="s">
        <v>53</v>
      </c>
      <c r="I10" s="50"/>
      <c r="J10" s="24"/>
    </row>
    <row r="11" spans="1:10" s="21" customFormat="1" ht="27.6" x14ac:dyDescent="0.25">
      <c r="A11" s="32">
        <v>6</v>
      </c>
      <c r="B11" s="23" t="s">
        <v>181</v>
      </c>
      <c r="C11" s="35" t="s">
        <v>186</v>
      </c>
      <c r="D11" s="36" t="s">
        <v>189</v>
      </c>
      <c r="E11" s="31" t="s">
        <v>50</v>
      </c>
      <c r="F11" s="23" t="s">
        <v>192</v>
      </c>
      <c r="G11" s="22" t="s">
        <v>56</v>
      </c>
      <c r="H11" s="23" t="s">
        <v>53</v>
      </c>
      <c r="I11" s="23"/>
      <c r="J11" s="24"/>
    </row>
    <row r="12" spans="1:10" s="21" customFormat="1" ht="27.6" x14ac:dyDescent="0.25">
      <c r="A12" s="16">
        <v>7</v>
      </c>
      <c r="B12" s="23" t="s">
        <v>193</v>
      </c>
      <c r="C12" s="35" t="s">
        <v>194</v>
      </c>
      <c r="D12" s="36" t="s">
        <v>195</v>
      </c>
      <c r="E12" s="31" t="s">
        <v>55</v>
      </c>
      <c r="F12" s="23" t="s">
        <v>196</v>
      </c>
      <c r="G12" s="22" t="s">
        <v>56</v>
      </c>
      <c r="H12" s="23" t="s">
        <v>53</v>
      </c>
      <c r="I12" s="23">
        <v>17</v>
      </c>
      <c r="J12" s="24"/>
    </row>
    <row r="13" spans="1:10" s="21" customFormat="1" x14ac:dyDescent="0.25">
      <c r="A13" s="32"/>
      <c r="B13" s="17"/>
      <c r="C13" s="23"/>
      <c r="D13" s="26"/>
      <c r="E13" s="20"/>
      <c r="F13" s="23"/>
      <c r="G13" s="22"/>
      <c r="H13" s="23"/>
      <c r="I13" s="23"/>
      <c r="J13" s="24"/>
    </row>
    <row r="14" spans="1:10" s="21" customFormat="1" x14ac:dyDescent="0.25">
      <c r="A14" s="32"/>
      <c r="B14" s="33"/>
      <c r="C14" s="35"/>
      <c r="D14" s="36"/>
      <c r="E14" s="31"/>
      <c r="F14" s="23"/>
      <c r="G14" s="22"/>
      <c r="H14" s="23"/>
      <c r="I14" s="23"/>
      <c r="J14" s="24"/>
    </row>
    <row r="15" spans="1:10" s="21" customFormat="1" x14ac:dyDescent="0.25">
      <c r="A15" s="16"/>
      <c r="B15" s="17"/>
      <c r="C15" s="23"/>
      <c r="D15" s="26"/>
      <c r="E15" s="20"/>
      <c r="F15" s="23"/>
      <c r="G15" s="22"/>
      <c r="H15" s="23"/>
      <c r="I15" s="23"/>
      <c r="J15" s="24"/>
    </row>
    <row r="16" spans="1:10" s="21" customFormat="1" x14ac:dyDescent="0.25">
      <c r="A16" s="32"/>
      <c r="B16" s="33"/>
      <c r="C16" s="35"/>
      <c r="D16" s="36"/>
      <c r="E16" s="20"/>
      <c r="F16" s="23"/>
      <c r="G16" s="22"/>
      <c r="H16" s="23"/>
      <c r="I16" s="23"/>
      <c r="J16" s="24"/>
    </row>
    <row r="17" spans="1:10" s="21" customFormat="1" x14ac:dyDescent="0.25">
      <c r="A17" s="32"/>
      <c r="B17" s="33"/>
      <c r="C17" s="35"/>
      <c r="D17" s="36"/>
      <c r="E17" s="20"/>
      <c r="F17" s="23"/>
      <c r="G17" s="22"/>
      <c r="H17" s="23"/>
      <c r="I17" s="23"/>
      <c r="J17" s="24"/>
    </row>
    <row r="18" spans="1:10" s="21" customFormat="1" x14ac:dyDescent="0.25">
      <c r="A18" s="32"/>
      <c r="B18" s="33"/>
      <c r="C18" s="35"/>
      <c r="D18" s="36"/>
      <c r="E18" s="20"/>
      <c r="F18" s="23"/>
      <c r="G18" s="22"/>
      <c r="H18" s="23"/>
      <c r="I18" s="23"/>
      <c r="J18" s="24"/>
    </row>
    <row r="19" spans="1:10" s="21" customFormat="1" x14ac:dyDescent="0.25">
      <c r="A19" s="32"/>
      <c r="B19" s="33"/>
      <c r="C19" s="35"/>
      <c r="D19" s="36"/>
      <c r="E19" s="20"/>
      <c r="F19" s="23"/>
      <c r="G19" s="22"/>
      <c r="H19" s="23"/>
      <c r="I19" s="23"/>
      <c r="J19" s="24"/>
    </row>
    <row r="20" spans="1:10" s="21" customFormat="1" x14ac:dyDescent="0.25">
      <c r="A20" s="16"/>
      <c r="B20" s="17"/>
      <c r="C20" s="23"/>
      <c r="D20" s="26"/>
      <c r="E20" s="20"/>
      <c r="F20" s="23"/>
      <c r="G20" s="22"/>
      <c r="H20" s="23"/>
      <c r="I20" s="23"/>
      <c r="J20" s="24"/>
    </row>
    <row r="21" spans="1:10" s="28" customFormat="1" x14ac:dyDescent="0.3">
      <c r="A21" s="27"/>
      <c r="B21" s="30"/>
      <c r="C21" s="43"/>
      <c r="D21" s="27"/>
      <c r="E21" s="40"/>
      <c r="G21" s="41"/>
    </row>
    <row r="22" spans="1:10" s="28" customFormat="1" x14ac:dyDescent="0.3">
      <c r="A22" s="27"/>
      <c r="C22" s="27"/>
      <c r="D22" s="27"/>
      <c r="E22" s="40"/>
      <c r="G22" s="41"/>
    </row>
    <row r="23" spans="1:10" s="28" customFormat="1" x14ac:dyDescent="0.3">
      <c r="A23" s="27"/>
      <c r="C23" s="27"/>
      <c r="D23" s="27"/>
      <c r="E23" s="40"/>
      <c r="G23" s="41"/>
    </row>
    <row r="24" spans="1:10" s="28" customFormat="1" x14ac:dyDescent="0.3">
      <c r="A24" s="27"/>
      <c r="C24" s="27"/>
      <c r="D24" s="27"/>
      <c r="E24" s="40"/>
      <c r="G24" s="41"/>
    </row>
    <row r="25" spans="1:10" s="28" customFormat="1" x14ac:dyDescent="0.3">
      <c r="A25" s="27"/>
      <c r="C25" s="27"/>
      <c r="D25" s="27"/>
    </row>
    <row r="26" spans="1:10" s="28" customFormat="1" x14ac:dyDescent="0.3">
      <c r="A26" s="27"/>
      <c r="C26" s="27"/>
      <c r="D26" s="27"/>
    </row>
    <row r="27" spans="1:10" s="28" customFormat="1" x14ac:dyDescent="0.3">
      <c r="A27" s="27"/>
      <c r="C27" s="27"/>
      <c r="D27" s="27"/>
    </row>
    <row r="28" spans="1:10" s="28" customFormat="1" x14ac:dyDescent="0.3">
      <c r="A28" s="27"/>
      <c r="C28" s="27"/>
      <c r="D28" s="27"/>
    </row>
    <row r="29" spans="1:10" s="28" customFormat="1" x14ac:dyDescent="0.3">
      <c r="A29" s="27"/>
      <c r="C29" s="27"/>
      <c r="D29" s="27"/>
    </row>
    <row r="30" spans="1:10" s="28" customFormat="1" x14ac:dyDescent="0.3">
      <c r="A30" s="27"/>
      <c r="C30" s="27"/>
      <c r="D30" s="27"/>
    </row>
    <row r="31" spans="1:10" s="28" customFormat="1" x14ac:dyDescent="0.3">
      <c r="A31" s="27"/>
      <c r="C31" s="27"/>
      <c r="D31" s="27"/>
    </row>
    <row r="32" spans="1:10" s="28" customFormat="1" x14ac:dyDescent="0.3">
      <c r="A32" s="27"/>
      <c r="C32" s="27"/>
      <c r="D32" s="27"/>
    </row>
    <row r="33" spans="1:4" s="28" customFormat="1" x14ac:dyDescent="0.3">
      <c r="A33" s="27"/>
      <c r="C33" s="27"/>
      <c r="D33" s="27"/>
    </row>
    <row r="34" spans="1:4" s="28" customFormat="1" x14ac:dyDescent="0.3">
      <c r="A34" s="27"/>
      <c r="C34" s="27"/>
      <c r="D34" s="27"/>
    </row>
    <row r="35" spans="1:4" s="28" customFormat="1" x14ac:dyDescent="0.3">
      <c r="A35" s="27"/>
      <c r="C35" s="27"/>
      <c r="D35" s="27"/>
    </row>
    <row r="36" spans="1:4" s="28" customFormat="1" x14ac:dyDescent="0.3">
      <c r="A36" s="27"/>
      <c r="C36" s="27"/>
      <c r="D36" s="27"/>
    </row>
    <row r="37" spans="1:4" s="28" customFormat="1" x14ac:dyDescent="0.3">
      <c r="A37" s="27"/>
      <c r="C37" s="27"/>
      <c r="D37" s="27"/>
    </row>
    <row r="38" spans="1:4" s="28" customFormat="1" x14ac:dyDescent="0.3">
      <c r="A38" s="27"/>
      <c r="C38" s="27"/>
      <c r="D38" s="27"/>
    </row>
    <row r="39" spans="1:4" s="28" customFormat="1" x14ac:dyDescent="0.3">
      <c r="A39" s="27"/>
      <c r="C39" s="27"/>
      <c r="D39" s="27"/>
    </row>
    <row r="40" spans="1:4" s="28" customFormat="1" x14ac:dyDescent="0.3">
      <c r="A40" s="27"/>
      <c r="C40" s="27"/>
      <c r="D40" s="27"/>
    </row>
    <row r="41" spans="1:4" s="28" customFormat="1" x14ac:dyDescent="0.3">
      <c r="A41" s="27"/>
      <c r="C41" s="27"/>
      <c r="D41" s="27"/>
    </row>
    <row r="42" spans="1:4" s="28" customFormat="1" x14ac:dyDescent="0.3">
      <c r="A42" s="27"/>
      <c r="C42" s="27"/>
      <c r="D42" s="27"/>
    </row>
    <row r="43" spans="1:4" s="28" customFormat="1" x14ac:dyDescent="0.3">
      <c r="A43" s="27"/>
      <c r="C43" s="27"/>
      <c r="D43" s="27"/>
    </row>
    <row r="44" spans="1:4" s="28" customFormat="1" x14ac:dyDescent="0.3">
      <c r="A44" s="27"/>
      <c r="C44" s="27"/>
      <c r="D44" s="27"/>
    </row>
    <row r="45" spans="1:4" s="28" customFormat="1" x14ac:dyDescent="0.3">
      <c r="A45" s="27"/>
      <c r="C45" s="27"/>
      <c r="D45" s="27"/>
    </row>
    <row r="46" spans="1:4" s="28" customFormat="1" x14ac:dyDescent="0.3">
      <c r="A46" s="27"/>
      <c r="C46" s="27"/>
      <c r="D46" s="27"/>
    </row>
    <row r="47" spans="1:4" s="28" customFormat="1" x14ac:dyDescent="0.3">
      <c r="A47" s="27"/>
      <c r="C47" s="27"/>
      <c r="D47" s="27"/>
    </row>
    <row r="48" spans="1:4" s="28" customFormat="1" x14ac:dyDescent="0.3">
      <c r="A48" s="27"/>
      <c r="C48" s="27"/>
      <c r="D48" s="27"/>
    </row>
    <row r="49" spans="1:4" s="28" customFormat="1" x14ac:dyDescent="0.3">
      <c r="A49" s="27"/>
      <c r="C49" s="27"/>
      <c r="D49" s="27"/>
    </row>
    <row r="50" spans="1:4" s="28" customFormat="1" x14ac:dyDescent="0.3">
      <c r="A50" s="27"/>
      <c r="C50" s="27"/>
      <c r="D50" s="27"/>
    </row>
    <row r="51" spans="1:4" s="28" customFormat="1" x14ac:dyDescent="0.3">
      <c r="A51" s="27"/>
      <c r="C51" s="27"/>
      <c r="D51" s="27"/>
    </row>
    <row r="52" spans="1:4" s="28" customFormat="1" x14ac:dyDescent="0.3">
      <c r="A52" s="27"/>
      <c r="C52" s="27"/>
      <c r="D52" s="27"/>
    </row>
    <row r="53" spans="1:4" s="28" customFormat="1" x14ac:dyDescent="0.3">
      <c r="A53" s="27"/>
      <c r="C53" s="27"/>
      <c r="D53" s="27"/>
    </row>
    <row r="54" spans="1:4" s="28" customFormat="1" x14ac:dyDescent="0.3">
      <c r="A54" s="27"/>
      <c r="C54" s="27"/>
      <c r="D54" s="27"/>
    </row>
    <row r="55" spans="1:4" s="28" customFormat="1" x14ac:dyDescent="0.3">
      <c r="A55" s="27"/>
      <c r="C55" s="27"/>
      <c r="D55" s="27"/>
    </row>
    <row r="56" spans="1:4" s="28" customFormat="1" x14ac:dyDescent="0.3">
      <c r="A56" s="27"/>
      <c r="C56" s="27"/>
      <c r="D56" s="27"/>
    </row>
    <row r="57" spans="1:4" s="28" customFormat="1" x14ac:dyDescent="0.3">
      <c r="A57" s="27"/>
      <c r="C57" s="27"/>
      <c r="D57" s="27"/>
    </row>
    <row r="58" spans="1:4" s="28" customFormat="1" x14ac:dyDescent="0.3">
      <c r="A58" s="27"/>
      <c r="C58" s="27"/>
      <c r="D58" s="27"/>
    </row>
    <row r="59" spans="1:4" s="28" customFormat="1" x14ac:dyDescent="0.3">
      <c r="A59" s="27"/>
      <c r="C59" s="27"/>
      <c r="D59" s="27"/>
    </row>
    <row r="60" spans="1:4" s="28" customFormat="1" x14ac:dyDescent="0.3">
      <c r="A60" s="27"/>
      <c r="C60" s="27"/>
      <c r="D60" s="27"/>
    </row>
    <row r="61" spans="1:4" s="28" customFormat="1" x14ac:dyDescent="0.3">
      <c r="A61" s="27"/>
      <c r="C61" s="27"/>
      <c r="D61" s="27"/>
    </row>
    <row r="62" spans="1:4" s="28" customFormat="1" x14ac:dyDescent="0.3">
      <c r="A62" s="27"/>
      <c r="C62" s="27"/>
      <c r="D62" s="27"/>
    </row>
    <row r="63" spans="1:4" s="28" customFormat="1" x14ac:dyDescent="0.3">
      <c r="A63" s="27"/>
      <c r="C63" s="27"/>
      <c r="D63" s="27"/>
    </row>
    <row r="64" spans="1:4" s="28" customFormat="1" x14ac:dyDescent="0.3">
      <c r="A64" s="27"/>
      <c r="C64" s="27"/>
      <c r="D64" s="27"/>
    </row>
  </sheetData>
  <mergeCells count="5">
    <mergeCell ref="B1:D1"/>
    <mergeCell ref="B2:D2"/>
    <mergeCell ref="B3:D3"/>
    <mergeCell ref="A4:D4"/>
    <mergeCell ref="E4:I4"/>
  </mergeCells>
  <dataValidations count="1">
    <dataValidation type="list" allowBlank="1" showInputMessage="1" showErrorMessage="1" sqref="E6:E20" xr:uid="{52634FCD-2CD9-4C30-A58E-0A6162EB3FCE}">
      <formula1>"Passed,Failed,Not Run,Blocked"</formula1>
    </dataValidation>
  </dataValidations>
  <pageMargins left="0.23622047244094491" right="0.23622047244094491" top="0.47244094488188981" bottom="0.47244094488188981" header="0.31496062992125984" footer="0.31496062992125984"/>
  <pageSetup paperSize="8" scale="48" orientation="portrait"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E9714-1F93-47E6-B3A1-DF6270F0E41B}">
  <sheetPr codeName="Sheet15">
    <pageSetUpPr fitToPage="1"/>
  </sheetPr>
  <dimension ref="A1:J64"/>
  <sheetViews>
    <sheetView topLeftCell="A2" workbookViewId="0">
      <selection activeCell="I18" sqref="I18"/>
    </sheetView>
  </sheetViews>
  <sheetFormatPr defaultColWidth="9.109375" defaultRowHeight="13.8" x14ac:dyDescent="0.3"/>
  <cols>
    <col min="1" max="1" width="7.88671875" style="29" customWidth="1"/>
    <col min="2" max="2" width="29.5546875" style="30" customWidth="1"/>
    <col min="3" max="3" width="16.44140625" style="29" customWidth="1"/>
    <col min="4" max="4" width="17.33203125" style="29" customWidth="1"/>
    <col min="5" max="5" width="22.6640625" style="30" customWidth="1"/>
    <col min="6" max="6" width="38.5546875" style="30" customWidth="1"/>
    <col min="7" max="7" width="11.109375" style="30" customWidth="1"/>
    <col min="8" max="8" width="16" style="30" customWidth="1"/>
    <col min="9" max="9" width="14.6640625" style="30" customWidth="1"/>
    <col min="10" max="16384" width="9.109375" style="30"/>
  </cols>
  <sheetData>
    <row r="1" spans="1:10" s="5" customFormat="1" ht="18.600000000000001" thickBot="1" x14ac:dyDescent="0.3">
      <c r="A1" s="6" t="s">
        <v>12</v>
      </c>
      <c r="B1" s="90" t="str">
        <f>'List of Tests'!B2</f>
        <v>Test</v>
      </c>
      <c r="C1" s="91"/>
      <c r="D1" s="92"/>
      <c r="E1" s="4"/>
      <c r="F1" s="4"/>
      <c r="G1" s="4"/>
      <c r="H1" s="4"/>
      <c r="I1" s="4"/>
    </row>
    <row r="2" spans="1:10" s="5" customFormat="1" x14ac:dyDescent="0.25">
      <c r="A2" s="6" t="s">
        <v>11</v>
      </c>
      <c r="B2" s="93" t="str">
        <f ca="1">INDIRECT("'List of Tests'!B"&amp;(MID(CELL("filename",A1),FIND("]TC",CELL("filename",A1),1)+3,9999)+3))</f>
        <v>Settings page - Current User</v>
      </c>
      <c r="C2" s="97"/>
      <c r="D2" s="97"/>
      <c r="E2" s="7" t="s">
        <v>25</v>
      </c>
      <c r="F2" s="7" t="str">
        <f>IF(COUNTIF($E$6:$E$964,"Failed")&gt;0,"Failed",IF(COUNTIF($E$6:$E$964,"Blocked")&gt;0,"Blocked",IF(COUNTIF($E$6:$E$964,"Not Run")&gt;0,"Not Run",IF(COUNTIF($E$6:$E$964,"Passed")&gt;0,"Passed","Not Run"))))</f>
        <v>Failed</v>
      </c>
      <c r="G2" s="4"/>
      <c r="H2" s="4"/>
      <c r="I2" s="4"/>
    </row>
    <row r="3" spans="1:10" s="5" customFormat="1" x14ac:dyDescent="0.3">
      <c r="A3" s="6" t="s">
        <v>23</v>
      </c>
      <c r="B3" s="95" t="str">
        <f ca="1">INDIRECT("'List of Tests'!C"&amp;(MID(CELL("filename",A1),FIND("]TC",CELL("filename",A1),1)+3,9999)+3))</f>
        <v>Test if Current User page is functioning correctly</v>
      </c>
      <c r="C3" s="98"/>
      <c r="D3" s="99"/>
      <c r="E3" s="9"/>
      <c r="F3" s="9"/>
      <c r="G3" s="9"/>
      <c r="H3" s="9"/>
      <c r="I3" s="9"/>
    </row>
    <row r="4" spans="1:10" x14ac:dyDescent="0.3">
      <c r="A4" s="100" t="s">
        <v>6</v>
      </c>
      <c r="B4" s="101"/>
      <c r="C4" s="101"/>
      <c r="D4" s="102"/>
      <c r="E4" s="103" t="s">
        <v>7</v>
      </c>
      <c r="F4" s="104"/>
      <c r="G4" s="104"/>
      <c r="H4" s="104"/>
      <c r="I4" s="105"/>
    </row>
    <row r="5" spans="1:10" s="15" customFormat="1" ht="27.6" x14ac:dyDescent="0.25">
      <c r="A5" s="11" t="s">
        <v>24</v>
      </c>
      <c r="B5" s="11" t="s">
        <v>1</v>
      </c>
      <c r="C5" s="11" t="s">
        <v>0</v>
      </c>
      <c r="D5" s="12" t="s">
        <v>2</v>
      </c>
      <c r="E5" s="13" t="s">
        <v>3</v>
      </c>
      <c r="F5" s="11" t="s">
        <v>4</v>
      </c>
      <c r="G5" s="14" t="s">
        <v>19</v>
      </c>
      <c r="H5" s="11" t="s">
        <v>8</v>
      </c>
      <c r="I5" s="14" t="s">
        <v>22</v>
      </c>
    </row>
    <row r="6" spans="1:10" s="21" customFormat="1" ht="54" customHeight="1" x14ac:dyDescent="0.25">
      <c r="A6" s="32">
        <v>1</v>
      </c>
      <c r="B6" s="33" t="s">
        <v>200</v>
      </c>
      <c r="C6" s="33" t="s">
        <v>201</v>
      </c>
      <c r="D6" s="34" t="s">
        <v>54</v>
      </c>
      <c r="E6" s="31" t="s">
        <v>55</v>
      </c>
      <c r="F6" s="23" t="s">
        <v>202</v>
      </c>
      <c r="G6" s="22" t="s">
        <v>56</v>
      </c>
      <c r="H6" s="23" t="s">
        <v>53</v>
      </c>
      <c r="I6" s="23">
        <v>18</v>
      </c>
      <c r="J6" s="24"/>
    </row>
    <row r="7" spans="1:10" s="21" customFormat="1" ht="57" customHeight="1" x14ac:dyDescent="0.25">
      <c r="A7" s="16">
        <v>2</v>
      </c>
      <c r="B7" s="23" t="s">
        <v>200</v>
      </c>
      <c r="C7" s="23" t="s">
        <v>203</v>
      </c>
      <c r="D7" s="34" t="s">
        <v>54</v>
      </c>
      <c r="E7" s="20" t="s">
        <v>55</v>
      </c>
      <c r="F7" s="23" t="s">
        <v>202</v>
      </c>
      <c r="G7" s="22" t="s">
        <v>56</v>
      </c>
      <c r="H7" s="23" t="s">
        <v>53</v>
      </c>
      <c r="I7" s="23">
        <v>19</v>
      </c>
      <c r="J7" s="24"/>
    </row>
    <row r="8" spans="1:10" s="21" customFormat="1" ht="52.5" customHeight="1" x14ac:dyDescent="0.25">
      <c r="A8" s="32">
        <v>3</v>
      </c>
      <c r="B8" s="23" t="s">
        <v>204</v>
      </c>
      <c r="C8" s="33" t="s">
        <v>205</v>
      </c>
      <c r="D8" s="34" t="s">
        <v>206</v>
      </c>
      <c r="E8" s="49" t="s">
        <v>50</v>
      </c>
      <c r="F8" s="34" t="s">
        <v>206</v>
      </c>
      <c r="G8" s="22" t="s">
        <v>56</v>
      </c>
      <c r="H8" s="23" t="s">
        <v>53</v>
      </c>
      <c r="I8" s="50"/>
      <c r="J8" s="24"/>
    </row>
    <row r="9" spans="1:10" s="21" customFormat="1" ht="42" customHeight="1" x14ac:dyDescent="0.25">
      <c r="A9" s="16">
        <v>4</v>
      </c>
      <c r="B9" s="33" t="s">
        <v>204</v>
      </c>
      <c r="C9" s="33" t="s">
        <v>132</v>
      </c>
      <c r="D9" s="34" t="s">
        <v>54</v>
      </c>
      <c r="E9" s="49" t="s">
        <v>50</v>
      </c>
      <c r="F9" s="50" t="s">
        <v>207</v>
      </c>
      <c r="G9" s="22" t="s">
        <v>56</v>
      </c>
      <c r="H9" s="23" t="s">
        <v>53</v>
      </c>
      <c r="I9" s="50"/>
      <c r="J9" s="24"/>
    </row>
    <row r="10" spans="1:10" s="21" customFormat="1" ht="51" customHeight="1" x14ac:dyDescent="0.25">
      <c r="A10" s="32">
        <v>5</v>
      </c>
      <c r="B10" s="23" t="s">
        <v>204</v>
      </c>
      <c r="C10" s="23" t="s">
        <v>210</v>
      </c>
      <c r="D10" s="34" t="s">
        <v>54</v>
      </c>
      <c r="E10" s="49" t="s">
        <v>50</v>
      </c>
      <c r="F10" s="50" t="s">
        <v>207</v>
      </c>
      <c r="G10" s="22" t="s">
        <v>56</v>
      </c>
      <c r="H10" s="23" t="s">
        <v>53</v>
      </c>
      <c r="I10" s="50"/>
      <c r="J10" s="24"/>
    </row>
    <row r="11" spans="1:10" s="21" customFormat="1" ht="27.6" x14ac:dyDescent="0.25">
      <c r="A11" s="32">
        <v>6</v>
      </c>
      <c r="B11" s="23" t="s">
        <v>208</v>
      </c>
      <c r="C11" s="35" t="s">
        <v>186</v>
      </c>
      <c r="D11" s="36" t="s">
        <v>189</v>
      </c>
      <c r="E11" s="31" t="s">
        <v>50</v>
      </c>
      <c r="F11" s="23" t="s">
        <v>192</v>
      </c>
      <c r="G11" s="22" t="s">
        <v>56</v>
      </c>
      <c r="H11" s="23" t="s">
        <v>53</v>
      </c>
      <c r="I11" s="23"/>
      <c r="J11" s="24"/>
    </row>
    <row r="12" spans="1:10" s="21" customFormat="1" ht="27.6" x14ac:dyDescent="0.25">
      <c r="A12" s="16">
        <v>7</v>
      </c>
      <c r="B12" s="23" t="s">
        <v>208</v>
      </c>
      <c r="C12" s="35" t="s">
        <v>210</v>
      </c>
      <c r="D12" s="36" t="s">
        <v>54</v>
      </c>
      <c r="E12" s="31" t="s">
        <v>55</v>
      </c>
      <c r="F12" s="23" t="s">
        <v>209</v>
      </c>
      <c r="G12" s="22" t="s">
        <v>56</v>
      </c>
      <c r="H12" s="23" t="s">
        <v>53</v>
      </c>
      <c r="I12" s="23">
        <v>20</v>
      </c>
      <c r="J12" s="24"/>
    </row>
    <row r="13" spans="1:10" s="21" customFormat="1" ht="27.6" x14ac:dyDescent="0.25">
      <c r="A13" s="16">
        <v>8</v>
      </c>
      <c r="B13" s="17" t="s">
        <v>208</v>
      </c>
      <c r="C13" s="23" t="s">
        <v>158</v>
      </c>
      <c r="D13" s="26" t="s">
        <v>54</v>
      </c>
      <c r="E13" s="20" t="s">
        <v>55</v>
      </c>
      <c r="F13" s="23" t="s">
        <v>209</v>
      </c>
      <c r="G13" s="22" t="s">
        <v>56</v>
      </c>
      <c r="H13" s="23" t="s">
        <v>53</v>
      </c>
      <c r="I13" s="23">
        <v>21</v>
      </c>
      <c r="J13" s="24"/>
    </row>
    <row r="14" spans="1:10" s="21" customFormat="1" ht="27.6" x14ac:dyDescent="0.25">
      <c r="A14" s="16">
        <v>9</v>
      </c>
      <c r="B14" s="33" t="s">
        <v>211</v>
      </c>
      <c r="C14" s="35" t="s">
        <v>212</v>
      </c>
      <c r="D14" s="36" t="s">
        <v>206</v>
      </c>
      <c r="E14" s="31" t="s">
        <v>50</v>
      </c>
      <c r="F14" s="23" t="s">
        <v>213</v>
      </c>
      <c r="G14" s="22" t="s">
        <v>56</v>
      </c>
      <c r="H14" s="23" t="s">
        <v>53</v>
      </c>
      <c r="I14" s="23"/>
      <c r="J14" s="24"/>
    </row>
    <row r="15" spans="1:10" s="21" customFormat="1" ht="27.6" x14ac:dyDescent="0.25">
      <c r="A15" s="16">
        <v>10</v>
      </c>
      <c r="B15" s="17" t="s">
        <v>211</v>
      </c>
      <c r="C15" s="23" t="s">
        <v>210</v>
      </c>
      <c r="D15" s="26" t="s">
        <v>54</v>
      </c>
      <c r="E15" s="20" t="s">
        <v>55</v>
      </c>
      <c r="F15" s="23" t="s">
        <v>213</v>
      </c>
      <c r="G15" s="22" t="s">
        <v>56</v>
      </c>
      <c r="H15" s="23" t="s">
        <v>53</v>
      </c>
      <c r="I15" s="23">
        <v>22</v>
      </c>
      <c r="J15" s="24"/>
    </row>
    <row r="16" spans="1:10" s="21" customFormat="1" ht="27.6" x14ac:dyDescent="0.25">
      <c r="A16" s="16">
        <v>11</v>
      </c>
      <c r="B16" s="33" t="s">
        <v>214</v>
      </c>
      <c r="C16" s="35" t="s">
        <v>215</v>
      </c>
      <c r="D16" s="36" t="s">
        <v>206</v>
      </c>
      <c r="E16" s="20" t="s">
        <v>50</v>
      </c>
      <c r="F16" s="23" t="s">
        <v>216</v>
      </c>
      <c r="G16" s="22" t="s">
        <v>56</v>
      </c>
      <c r="H16" s="23" t="s">
        <v>53</v>
      </c>
      <c r="I16" s="23"/>
      <c r="J16" s="24"/>
    </row>
    <row r="17" spans="1:10" s="21" customFormat="1" ht="55.2" x14ac:dyDescent="0.25">
      <c r="A17" s="32">
        <v>12</v>
      </c>
      <c r="B17" s="33" t="s">
        <v>214</v>
      </c>
      <c r="C17" s="36" t="s">
        <v>217</v>
      </c>
      <c r="D17" s="36" t="s">
        <v>54</v>
      </c>
      <c r="E17" s="20" t="s">
        <v>50</v>
      </c>
      <c r="F17" s="23" t="s">
        <v>62</v>
      </c>
      <c r="G17" s="22" t="s">
        <v>56</v>
      </c>
      <c r="H17" s="23" t="s">
        <v>53</v>
      </c>
      <c r="I17" s="23"/>
      <c r="J17" s="24"/>
    </row>
    <row r="18" spans="1:10" s="21" customFormat="1" ht="27.6" x14ac:dyDescent="0.25">
      <c r="A18" s="32">
        <v>13</v>
      </c>
      <c r="B18" s="33" t="s">
        <v>218</v>
      </c>
      <c r="C18" s="35" t="s">
        <v>219</v>
      </c>
      <c r="D18" s="36" t="s">
        <v>220</v>
      </c>
      <c r="E18" s="20" t="s">
        <v>50</v>
      </c>
      <c r="F18" s="23" t="s">
        <v>221</v>
      </c>
      <c r="G18" s="22" t="s">
        <v>56</v>
      </c>
      <c r="H18" s="23" t="s">
        <v>53</v>
      </c>
      <c r="I18" s="23"/>
      <c r="J18" s="24"/>
    </row>
    <row r="19" spans="1:10" s="21" customFormat="1" ht="27.6" x14ac:dyDescent="0.25">
      <c r="A19" s="32">
        <v>14</v>
      </c>
      <c r="B19" s="33" t="s">
        <v>222</v>
      </c>
      <c r="C19" s="35" t="s">
        <v>223</v>
      </c>
      <c r="D19" s="36" t="s">
        <v>224</v>
      </c>
      <c r="E19" s="20" t="s">
        <v>50</v>
      </c>
      <c r="F19" s="23" t="s">
        <v>225</v>
      </c>
      <c r="G19" s="22" t="s">
        <v>56</v>
      </c>
      <c r="H19" s="23" t="s">
        <v>53</v>
      </c>
      <c r="I19" s="23"/>
      <c r="J19" s="24"/>
    </row>
    <row r="20" spans="1:10" s="21" customFormat="1" x14ac:dyDescent="0.25">
      <c r="A20" s="16"/>
      <c r="B20" s="17"/>
      <c r="C20" s="23"/>
      <c r="D20" s="26"/>
      <c r="E20" s="20"/>
      <c r="F20" s="23"/>
      <c r="G20" s="22"/>
      <c r="H20" s="23"/>
      <c r="I20" s="23"/>
      <c r="J20" s="24"/>
    </row>
    <row r="21" spans="1:10" s="28" customFormat="1" x14ac:dyDescent="0.3">
      <c r="A21" s="27"/>
      <c r="B21" s="30"/>
      <c r="C21" s="43"/>
      <c r="D21" s="27"/>
      <c r="E21" s="40"/>
      <c r="G21" s="41"/>
    </row>
    <row r="22" spans="1:10" s="28" customFormat="1" x14ac:dyDescent="0.3">
      <c r="A22" s="27"/>
      <c r="C22" s="27"/>
      <c r="D22" s="27"/>
      <c r="E22" s="40"/>
      <c r="G22" s="41"/>
    </row>
    <row r="23" spans="1:10" s="28" customFormat="1" x14ac:dyDescent="0.3">
      <c r="A23" s="27"/>
      <c r="C23" s="27"/>
      <c r="D23" s="27"/>
      <c r="E23" s="40"/>
      <c r="G23" s="41"/>
    </row>
    <row r="24" spans="1:10" s="28" customFormat="1" x14ac:dyDescent="0.3">
      <c r="A24" s="27"/>
      <c r="C24" s="27"/>
      <c r="D24" s="27"/>
      <c r="E24" s="40"/>
      <c r="G24" s="41"/>
    </row>
    <row r="25" spans="1:10" s="28" customFormat="1" x14ac:dyDescent="0.3">
      <c r="A25" s="27"/>
      <c r="C25" s="27"/>
      <c r="D25" s="27"/>
    </row>
    <row r="26" spans="1:10" s="28" customFormat="1" x14ac:dyDescent="0.3">
      <c r="A26" s="27"/>
      <c r="C26" s="27"/>
      <c r="D26" s="27"/>
    </row>
    <row r="27" spans="1:10" s="28" customFormat="1" x14ac:dyDescent="0.3">
      <c r="A27" s="27"/>
      <c r="C27" s="27"/>
      <c r="D27" s="27"/>
    </row>
    <row r="28" spans="1:10" s="28" customFormat="1" x14ac:dyDescent="0.3">
      <c r="A28" s="27"/>
      <c r="C28" s="27"/>
      <c r="D28" s="27"/>
    </row>
    <row r="29" spans="1:10" s="28" customFormat="1" x14ac:dyDescent="0.3">
      <c r="A29" s="27"/>
      <c r="C29" s="27"/>
      <c r="D29" s="27"/>
    </row>
    <row r="30" spans="1:10" s="28" customFormat="1" x14ac:dyDescent="0.3">
      <c r="A30" s="27"/>
      <c r="C30" s="27"/>
      <c r="D30" s="27"/>
    </row>
    <row r="31" spans="1:10" s="28" customFormat="1" x14ac:dyDescent="0.3">
      <c r="A31" s="27"/>
      <c r="C31" s="27"/>
      <c r="D31" s="27"/>
    </row>
    <row r="32" spans="1:10" s="28" customFormat="1" x14ac:dyDescent="0.3">
      <c r="A32" s="27"/>
      <c r="C32" s="27"/>
      <c r="D32" s="27"/>
    </row>
    <row r="33" spans="1:4" s="28" customFormat="1" x14ac:dyDescent="0.3">
      <c r="A33" s="27"/>
      <c r="C33" s="27"/>
      <c r="D33" s="27"/>
    </row>
    <row r="34" spans="1:4" s="28" customFormat="1" x14ac:dyDescent="0.3">
      <c r="A34" s="27"/>
      <c r="C34" s="27"/>
      <c r="D34" s="27"/>
    </row>
    <row r="35" spans="1:4" s="28" customFormat="1" x14ac:dyDescent="0.3">
      <c r="A35" s="27"/>
      <c r="C35" s="27"/>
      <c r="D35" s="27"/>
    </row>
    <row r="36" spans="1:4" s="28" customFormat="1" x14ac:dyDescent="0.3">
      <c r="A36" s="27"/>
      <c r="C36" s="27"/>
      <c r="D36" s="27"/>
    </row>
    <row r="37" spans="1:4" s="28" customFormat="1" x14ac:dyDescent="0.3">
      <c r="A37" s="27"/>
      <c r="C37" s="27"/>
      <c r="D37" s="27"/>
    </row>
    <row r="38" spans="1:4" s="28" customFormat="1" x14ac:dyDescent="0.3">
      <c r="A38" s="27"/>
      <c r="C38" s="27"/>
      <c r="D38" s="27"/>
    </row>
    <row r="39" spans="1:4" s="28" customFormat="1" x14ac:dyDescent="0.3">
      <c r="A39" s="27"/>
      <c r="C39" s="27"/>
      <c r="D39" s="27"/>
    </row>
    <row r="40" spans="1:4" s="28" customFormat="1" x14ac:dyDescent="0.3">
      <c r="A40" s="27"/>
      <c r="C40" s="27"/>
      <c r="D40" s="27"/>
    </row>
    <row r="41" spans="1:4" s="28" customFormat="1" x14ac:dyDescent="0.3">
      <c r="A41" s="27"/>
      <c r="C41" s="27"/>
      <c r="D41" s="27"/>
    </row>
    <row r="42" spans="1:4" s="28" customFormat="1" x14ac:dyDescent="0.3">
      <c r="A42" s="27"/>
      <c r="C42" s="27"/>
      <c r="D42" s="27"/>
    </row>
    <row r="43" spans="1:4" s="28" customFormat="1" x14ac:dyDescent="0.3">
      <c r="A43" s="27"/>
      <c r="C43" s="27"/>
      <c r="D43" s="27"/>
    </row>
    <row r="44" spans="1:4" s="28" customFormat="1" x14ac:dyDescent="0.3">
      <c r="A44" s="27"/>
      <c r="C44" s="27"/>
      <c r="D44" s="27"/>
    </row>
    <row r="45" spans="1:4" s="28" customFormat="1" x14ac:dyDescent="0.3">
      <c r="A45" s="27"/>
      <c r="C45" s="27"/>
      <c r="D45" s="27"/>
    </row>
    <row r="46" spans="1:4" s="28" customFormat="1" x14ac:dyDescent="0.3">
      <c r="A46" s="27"/>
      <c r="C46" s="27"/>
      <c r="D46" s="27"/>
    </row>
    <row r="47" spans="1:4" s="28" customFormat="1" x14ac:dyDescent="0.3">
      <c r="A47" s="27"/>
      <c r="C47" s="27"/>
      <c r="D47" s="27"/>
    </row>
    <row r="48" spans="1:4" s="28" customFormat="1" x14ac:dyDescent="0.3">
      <c r="A48" s="27"/>
      <c r="C48" s="27"/>
      <c r="D48" s="27"/>
    </row>
    <row r="49" spans="1:4" s="28" customFormat="1" x14ac:dyDescent="0.3">
      <c r="A49" s="27"/>
      <c r="C49" s="27"/>
      <c r="D49" s="27"/>
    </row>
    <row r="50" spans="1:4" s="28" customFormat="1" x14ac:dyDescent="0.3">
      <c r="A50" s="27"/>
      <c r="C50" s="27"/>
      <c r="D50" s="27"/>
    </row>
    <row r="51" spans="1:4" s="28" customFormat="1" x14ac:dyDescent="0.3">
      <c r="A51" s="27"/>
      <c r="C51" s="27"/>
      <c r="D51" s="27"/>
    </row>
    <row r="52" spans="1:4" s="28" customFormat="1" x14ac:dyDescent="0.3">
      <c r="A52" s="27"/>
      <c r="C52" s="27"/>
      <c r="D52" s="27"/>
    </row>
    <row r="53" spans="1:4" s="28" customFormat="1" x14ac:dyDescent="0.3">
      <c r="A53" s="27"/>
      <c r="C53" s="27"/>
      <c r="D53" s="27"/>
    </row>
    <row r="54" spans="1:4" s="28" customFormat="1" x14ac:dyDescent="0.3">
      <c r="A54" s="27"/>
      <c r="C54" s="27"/>
      <c r="D54" s="27"/>
    </row>
    <row r="55" spans="1:4" s="28" customFormat="1" x14ac:dyDescent="0.3">
      <c r="A55" s="27"/>
      <c r="C55" s="27"/>
      <c r="D55" s="27"/>
    </row>
    <row r="56" spans="1:4" s="28" customFormat="1" x14ac:dyDescent="0.3">
      <c r="A56" s="27"/>
      <c r="C56" s="27"/>
      <c r="D56" s="27"/>
    </row>
    <row r="57" spans="1:4" s="28" customFormat="1" x14ac:dyDescent="0.3">
      <c r="A57" s="27"/>
      <c r="C57" s="27"/>
      <c r="D57" s="27"/>
    </row>
    <row r="58" spans="1:4" s="28" customFormat="1" x14ac:dyDescent="0.3">
      <c r="A58" s="27"/>
      <c r="C58" s="27"/>
      <c r="D58" s="27"/>
    </row>
    <row r="59" spans="1:4" s="28" customFormat="1" x14ac:dyDescent="0.3">
      <c r="A59" s="27"/>
      <c r="C59" s="27"/>
      <c r="D59" s="27"/>
    </row>
    <row r="60" spans="1:4" s="28" customFormat="1" x14ac:dyDescent="0.3">
      <c r="A60" s="27"/>
      <c r="C60" s="27"/>
      <c r="D60" s="27"/>
    </row>
    <row r="61" spans="1:4" s="28" customFormat="1" x14ac:dyDescent="0.3">
      <c r="A61" s="27"/>
      <c r="C61" s="27"/>
      <c r="D61" s="27"/>
    </row>
    <row r="62" spans="1:4" s="28" customFormat="1" x14ac:dyDescent="0.3">
      <c r="A62" s="27"/>
      <c r="C62" s="27"/>
      <c r="D62" s="27"/>
    </row>
    <row r="63" spans="1:4" s="28" customFormat="1" x14ac:dyDescent="0.3">
      <c r="A63" s="27"/>
      <c r="C63" s="27"/>
      <c r="D63" s="27"/>
    </row>
    <row r="64" spans="1:4" s="28" customFormat="1" x14ac:dyDescent="0.3">
      <c r="A64" s="27"/>
      <c r="C64" s="27"/>
      <c r="D64" s="27"/>
    </row>
  </sheetData>
  <mergeCells count="5">
    <mergeCell ref="B1:D1"/>
    <mergeCell ref="B2:D2"/>
    <mergeCell ref="B3:D3"/>
    <mergeCell ref="A4:D4"/>
    <mergeCell ref="E4:I4"/>
  </mergeCells>
  <dataValidations count="1">
    <dataValidation type="list" allowBlank="1" showInputMessage="1" showErrorMessage="1" sqref="E6:E20" xr:uid="{1857EF53-DCF3-4B9F-8405-6FDAE84A3A81}">
      <formula1>"Passed,Failed,Not Run,Blocked"</formula1>
    </dataValidation>
  </dataValidations>
  <pageMargins left="0.23622047244094491" right="0.23622047244094491" top="0.47244094488188981" bottom="0.47244094488188981" header="0.31496062992125984" footer="0.31496062992125984"/>
  <pageSetup paperSize="8" scale="48" orientation="portrait"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AE2255-AC32-4CC9-A847-A34ED9DD0800}">
  <sheetPr codeName="Sheet16">
    <pageSetUpPr fitToPage="1"/>
  </sheetPr>
  <dimension ref="A1:J64"/>
  <sheetViews>
    <sheetView workbookViewId="0">
      <selection activeCell="B8" sqref="B8"/>
    </sheetView>
  </sheetViews>
  <sheetFormatPr defaultColWidth="9.109375" defaultRowHeight="13.8" x14ac:dyDescent="0.3"/>
  <cols>
    <col min="1" max="1" width="7.88671875" style="29" customWidth="1"/>
    <col min="2" max="2" width="29.5546875" style="30" customWidth="1"/>
    <col min="3" max="3" width="16.44140625" style="29" customWidth="1"/>
    <col min="4" max="4" width="17.33203125" style="29" customWidth="1"/>
    <col min="5" max="5" width="22.6640625" style="30" customWidth="1"/>
    <col min="6" max="6" width="38.5546875" style="30" customWidth="1"/>
    <col min="7" max="7" width="11.109375" style="30" customWidth="1"/>
    <col min="8" max="8" width="16" style="30" customWidth="1"/>
    <col min="9" max="9" width="14.6640625" style="30" customWidth="1"/>
    <col min="10" max="16384" width="9.109375" style="30"/>
  </cols>
  <sheetData>
    <row r="1" spans="1:10" s="5" customFormat="1" ht="18.600000000000001" thickBot="1" x14ac:dyDescent="0.3">
      <c r="A1" s="6" t="s">
        <v>12</v>
      </c>
      <c r="B1" s="90" t="str">
        <f>'List of Tests'!B2</f>
        <v>Test</v>
      </c>
      <c r="C1" s="91"/>
      <c r="D1" s="92"/>
      <c r="E1" s="4"/>
      <c r="F1" s="4"/>
      <c r="G1" s="4"/>
      <c r="H1" s="4"/>
      <c r="I1" s="4"/>
    </row>
    <row r="2" spans="1:10" s="5" customFormat="1" x14ac:dyDescent="0.25">
      <c r="A2" s="6" t="s">
        <v>11</v>
      </c>
      <c r="B2" s="93" t="str">
        <f ca="1">INDIRECT("'List of Tests'!B"&amp;(MID(CELL("filename",A1),FIND("]TC",CELL("filename",A1),1)+3,9999)+3))</f>
        <v>Settings page - About Easy!Appointments</v>
      </c>
      <c r="C2" s="97"/>
      <c r="D2" s="97"/>
      <c r="E2" s="7" t="s">
        <v>25</v>
      </c>
      <c r="F2" s="7" t="str">
        <f>IF(COUNTIF($E$6:$E$964,"Failed")&gt;0,"Failed",IF(COUNTIF($E$6:$E$964,"Blocked")&gt;0,"Blocked",IF(COUNTIF($E$6:$E$964,"Not Run")&gt;0,"Not Run",IF(COUNTIF($E$6:$E$964,"Passed")&gt;0,"Passed","Not Run"))))</f>
        <v>Passed</v>
      </c>
      <c r="G2" s="4"/>
      <c r="H2" s="4"/>
      <c r="I2" s="4"/>
    </row>
    <row r="3" spans="1:10" s="5" customFormat="1" x14ac:dyDescent="0.3">
      <c r="A3" s="6" t="s">
        <v>23</v>
      </c>
      <c r="B3" s="95" t="str">
        <f ca="1">INDIRECT("'List of Tests'!C"&amp;(MID(CELL("filename",A1),FIND("]TC",CELL("filename",A1),1)+3,9999)+3))</f>
        <v>Test if About Easy!Appointments page is functioning correctly</v>
      </c>
      <c r="C3" s="98"/>
      <c r="D3" s="99"/>
      <c r="E3" s="9"/>
      <c r="F3" s="9"/>
      <c r="G3" s="9"/>
      <c r="H3" s="9"/>
      <c r="I3" s="9"/>
    </row>
    <row r="4" spans="1:10" x14ac:dyDescent="0.3">
      <c r="A4" s="100" t="s">
        <v>6</v>
      </c>
      <c r="B4" s="101"/>
      <c r="C4" s="101"/>
      <c r="D4" s="102"/>
      <c r="E4" s="103" t="s">
        <v>7</v>
      </c>
      <c r="F4" s="104"/>
      <c r="G4" s="104"/>
      <c r="H4" s="104"/>
      <c r="I4" s="105"/>
    </row>
    <row r="5" spans="1:10" s="15" customFormat="1" ht="27.6" x14ac:dyDescent="0.25">
      <c r="A5" s="11" t="s">
        <v>24</v>
      </c>
      <c r="B5" s="11" t="s">
        <v>1</v>
      </c>
      <c r="C5" s="11" t="s">
        <v>0</v>
      </c>
      <c r="D5" s="12" t="s">
        <v>2</v>
      </c>
      <c r="E5" s="13" t="s">
        <v>3</v>
      </c>
      <c r="F5" s="11" t="s">
        <v>4</v>
      </c>
      <c r="G5" s="14" t="s">
        <v>19</v>
      </c>
      <c r="H5" s="11" t="s">
        <v>8</v>
      </c>
      <c r="I5" s="14" t="s">
        <v>22</v>
      </c>
    </row>
    <row r="6" spans="1:10" s="21" customFormat="1" ht="54" customHeight="1" x14ac:dyDescent="0.25">
      <c r="A6" s="32">
        <v>1</v>
      </c>
      <c r="B6" s="33" t="s">
        <v>229</v>
      </c>
      <c r="C6" s="33"/>
      <c r="D6" s="34" t="s">
        <v>230</v>
      </c>
      <c r="E6" s="31" t="s">
        <v>50</v>
      </c>
      <c r="F6" s="23" t="s">
        <v>231</v>
      </c>
      <c r="G6" s="22" t="s">
        <v>233</v>
      </c>
      <c r="H6" s="23" t="s">
        <v>53</v>
      </c>
      <c r="I6" s="23"/>
      <c r="J6" s="24"/>
    </row>
    <row r="7" spans="1:10" s="21" customFormat="1" ht="57" customHeight="1" x14ac:dyDescent="0.25">
      <c r="A7" s="16">
        <v>2</v>
      </c>
      <c r="B7" s="23" t="s">
        <v>232</v>
      </c>
      <c r="C7" s="23" t="s">
        <v>234</v>
      </c>
      <c r="D7" s="34" t="s">
        <v>235</v>
      </c>
      <c r="E7" s="20" t="s">
        <v>50</v>
      </c>
      <c r="F7" s="23" t="s">
        <v>236</v>
      </c>
      <c r="G7" s="22" t="s">
        <v>52</v>
      </c>
      <c r="H7" s="23" t="s">
        <v>53</v>
      </c>
      <c r="I7" s="23"/>
      <c r="J7" s="24"/>
    </row>
    <row r="8" spans="1:10" s="21" customFormat="1" ht="52.5" customHeight="1" x14ac:dyDescent="0.25">
      <c r="A8" s="32"/>
      <c r="B8" s="23"/>
      <c r="C8" s="33"/>
      <c r="D8" s="34"/>
      <c r="E8" s="49"/>
      <c r="F8" s="34"/>
      <c r="G8" s="22"/>
      <c r="H8" s="23"/>
      <c r="I8" s="50"/>
      <c r="J8" s="24"/>
    </row>
    <row r="9" spans="1:10" s="21" customFormat="1" ht="42" customHeight="1" x14ac:dyDescent="0.25">
      <c r="A9" s="16"/>
      <c r="B9" s="33"/>
      <c r="C9" s="33"/>
      <c r="D9" s="34"/>
      <c r="E9" s="49"/>
      <c r="F9" s="50"/>
      <c r="G9" s="22"/>
      <c r="H9" s="23"/>
      <c r="I9" s="50"/>
      <c r="J9" s="24"/>
    </row>
    <row r="10" spans="1:10" s="21" customFormat="1" ht="51" customHeight="1" x14ac:dyDescent="0.25">
      <c r="A10" s="32"/>
      <c r="B10" s="23"/>
      <c r="C10" s="23"/>
      <c r="D10" s="34"/>
      <c r="E10" s="49"/>
      <c r="F10" s="50"/>
      <c r="G10" s="22"/>
      <c r="H10" s="23"/>
      <c r="I10" s="50"/>
      <c r="J10" s="24"/>
    </row>
    <row r="11" spans="1:10" s="21" customFormat="1" x14ac:dyDescent="0.25">
      <c r="A11" s="32"/>
      <c r="B11" s="23"/>
      <c r="C11" s="35"/>
      <c r="D11" s="36"/>
      <c r="E11" s="31"/>
      <c r="F11" s="23"/>
      <c r="G11" s="22"/>
      <c r="H11" s="23"/>
      <c r="I11" s="23"/>
      <c r="J11" s="24"/>
    </row>
    <row r="12" spans="1:10" s="21" customFormat="1" x14ac:dyDescent="0.25">
      <c r="A12" s="16"/>
      <c r="B12" s="23"/>
      <c r="C12" s="35"/>
      <c r="D12" s="36"/>
      <c r="E12" s="31"/>
      <c r="F12" s="23"/>
      <c r="G12" s="22"/>
      <c r="H12" s="23"/>
      <c r="I12" s="23"/>
      <c r="J12" s="24"/>
    </row>
    <row r="13" spans="1:10" s="21" customFormat="1" x14ac:dyDescent="0.25">
      <c r="A13" s="16"/>
      <c r="B13" s="17"/>
      <c r="C13" s="23"/>
      <c r="D13" s="26"/>
      <c r="E13" s="20"/>
      <c r="F13" s="23"/>
      <c r="G13" s="22"/>
      <c r="H13" s="23"/>
      <c r="I13" s="23"/>
      <c r="J13" s="24"/>
    </row>
    <row r="14" spans="1:10" s="21" customFormat="1" x14ac:dyDescent="0.25">
      <c r="A14" s="16"/>
      <c r="B14" s="33"/>
      <c r="C14" s="35"/>
      <c r="D14" s="36"/>
      <c r="E14" s="31"/>
      <c r="F14" s="23"/>
      <c r="G14" s="22"/>
      <c r="H14" s="23"/>
      <c r="I14" s="23"/>
      <c r="J14" s="24"/>
    </row>
    <row r="15" spans="1:10" s="21" customFormat="1" x14ac:dyDescent="0.25">
      <c r="A15" s="16"/>
      <c r="B15" s="17"/>
      <c r="C15" s="23"/>
      <c r="D15" s="26"/>
      <c r="E15" s="20"/>
      <c r="F15" s="23"/>
      <c r="G15" s="22"/>
      <c r="H15" s="23"/>
      <c r="I15" s="23"/>
      <c r="J15" s="24"/>
    </row>
    <row r="16" spans="1:10" s="21" customFormat="1" x14ac:dyDescent="0.25">
      <c r="A16" s="16"/>
      <c r="B16" s="33"/>
      <c r="C16" s="35"/>
      <c r="D16" s="36"/>
      <c r="E16" s="20"/>
      <c r="F16" s="23"/>
      <c r="G16" s="22"/>
      <c r="H16" s="23"/>
      <c r="I16" s="23"/>
      <c r="J16" s="24"/>
    </row>
    <row r="17" spans="1:10" s="21" customFormat="1" x14ac:dyDescent="0.25">
      <c r="A17" s="32"/>
      <c r="B17" s="33"/>
      <c r="C17" s="36"/>
      <c r="D17" s="36"/>
      <c r="E17" s="20"/>
      <c r="F17" s="23"/>
      <c r="G17" s="22"/>
      <c r="H17" s="23"/>
      <c r="I17" s="23"/>
      <c r="J17" s="24"/>
    </row>
    <row r="18" spans="1:10" s="21" customFormat="1" x14ac:dyDescent="0.25">
      <c r="A18" s="32"/>
      <c r="B18" s="33"/>
      <c r="C18" s="35"/>
      <c r="D18" s="36"/>
      <c r="E18" s="20"/>
      <c r="F18" s="23"/>
      <c r="G18" s="22"/>
      <c r="H18" s="23"/>
      <c r="I18" s="23"/>
      <c r="J18" s="24"/>
    </row>
    <row r="19" spans="1:10" s="21" customFormat="1" x14ac:dyDescent="0.25">
      <c r="A19" s="32"/>
      <c r="B19" s="33"/>
      <c r="C19" s="35"/>
      <c r="D19" s="36"/>
      <c r="E19" s="20"/>
      <c r="F19" s="23"/>
      <c r="G19" s="22"/>
      <c r="H19" s="23"/>
      <c r="I19" s="23"/>
      <c r="J19" s="24"/>
    </row>
    <row r="20" spans="1:10" s="21" customFormat="1" x14ac:dyDescent="0.25">
      <c r="A20" s="16"/>
      <c r="B20" s="17"/>
      <c r="C20" s="23"/>
      <c r="D20" s="26"/>
      <c r="E20" s="20"/>
      <c r="F20" s="23"/>
      <c r="G20" s="22"/>
      <c r="H20" s="23"/>
      <c r="I20" s="23"/>
      <c r="J20" s="24"/>
    </row>
    <row r="21" spans="1:10" s="28" customFormat="1" x14ac:dyDescent="0.3">
      <c r="A21" s="27"/>
      <c r="B21" s="30"/>
      <c r="C21" s="43"/>
      <c r="D21" s="27"/>
      <c r="E21" s="40"/>
      <c r="G21" s="41"/>
    </row>
    <row r="22" spans="1:10" s="28" customFormat="1" x14ac:dyDescent="0.3">
      <c r="A22" s="27"/>
      <c r="C22" s="27"/>
      <c r="D22" s="27"/>
      <c r="E22" s="40"/>
      <c r="G22" s="41"/>
    </row>
    <row r="23" spans="1:10" s="28" customFormat="1" x14ac:dyDescent="0.3">
      <c r="A23" s="27"/>
      <c r="C23" s="27"/>
      <c r="D23" s="27"/>
      <c r="E23" s="40"/>
      <c r="G23" s="41"/>
    </row>
    <row r="24" spans="1:10" s="28" customFormat="1" x14ac:dyDescent="0.3">
      <c r="A24" s="27"/>
      <c r="C24" s="27"/>
      <c r="D24" s="27"/>
      <c r="E24" s="40"/>
      <c r="G24" s="41"/>
    </row>
    <row r="25" spans="1:10" s="28" customFormat="1" x14ac:dyDescent="0.3">
      <c r="A25" s="27"/>
      <c r="C25" s="27"/>
      <c r="D25" s="27"/>
    </row>
    <row r="26" spans="1:10" s="28" customFormat="1" x14ac:dyDescent="0.3">
      <c r="A26" s="27"/>
      <c r="C26" s="27"/>
      <c r="D26" s="27"/>
    </row>
    <row r="27" spans="1:10" s="28" customFormat="1" x14ac:dyDescent="0.3">
      <c r="A27" s="27"/>
      <c r="C27" s="27"/>
      <c r="D27" s="27"/>
    </row>
    <row r="28" spans="1:10" s="28" customFormat="1" x14ac:dyDescent="0.3">
      <c r="A28" s="27"/>
      <c r="C28" s="27"/>
      <c r="D28" s="27"/>
    </row>
    <row r="29" spans="1:10" s="28" customFormat="1" x14ac:dyDescent="0.3">
      <c r="A29" s="27"/>
      <c r="C29" s="27"/>
      <c r="D29" s="27"/>
    </row>
    <row r="30" spans="1:10" s="28" customFormat="1" x14ac:dyDescent="0.3">
      <c r="A30" s="27"/>
      <c r="C30" s="27"/>
      <c r="D30" s="27"/>
    </row>
    <row r="31" spans="1:10" s="28" customFormat="1" x14ac:dyDescent="0.3">
      <c r="A31" s="27"/>
      <c r="C31" s="27"/>
      <c r="D31" s="27"/>
    </row>
    <row r="32" spans="1:10" s="28" customFormat="1" x14ac:dyDescent="0.3">
      <c r="A32" s="27"/>
      <c r="C32" s="27"/>
      <c r="D32" s="27"/>
    </row>
    <row r="33" spans="1:4" s="28" customFormat="1" x14ac:dyDescent="0.3">
      <c r="A33" s="27"/>
      <c r="C33" s="27"/>
      <c r="D33" s="27"/>
    </row>
    <row r="34" spans="1:4" s="28" customFormat="1" x14ac:dyDescent="0.3">
      <c r="A34" s="27"/>
      <c r="C34" s="27"/>
      <c r="D34" s="27"/>
    </row>
    <row r="35" spans="1:4" s="28" customFormat="1" x14ac:dyDescent="0.3">
      <c r="A35" s="27"/>
      <c r="C35" s="27"/>
      <c r="D35" s="27"/>
    </row>
    <row r="36" spans="1:4" s="28" customFormat="1" x14ac:dyDescent="0.3">
      <c r="A36" s="27"/>
      <c r="C36" s="27"/>
      <c r="D36" s="27"/>
    </row>
    <row r="37" spans="1:4" s="28" customFormat="1" x14ac:dyDescent="0.3">
      <c r="A37" s="27"/>
      <c r="C37" s="27"/>
      <c r="D37" s="27"/>
    </row>
    <row r="38" spans="1:4" s="28" customFormat="1" x14ac:dyDescent="0.3">
      <c r="A38" s="27"/>
      <c r="C38" s="27"/>
      <c r="D38" s="27"/>
    </row>
    <row r="39" spans="1:4" s="28" customFormat="1" x14ac:dyDescent="0.3">
      <c r="A39" s="27"/>
      <c r="C39" s="27"/>
      <c r="D39" s="27"/>
    </row>
    <row r="40" spans="1:4" s="28" customFormat="1" x14ac:dyDescent="0.3">
      <c r="A40" s="27"/>
      <c r="C40" s="27"/>
      <c r="D40" s="27"/>
    </row>
    <row r="41" spans="1:4" s="28" customFormat="1" x14ac:dyDescent="0.3">
      <c r="A41" s="27"/>
      <c r="C41" s="27"/>
      <c r="D41" s="27"/>
    </row>
    <row r="42" spans="1:4" s="28" customFormat="1" x14ac:dyDescent="0.3">
      <c r="A42" s="27"/>
      <c r="C42" s="27"/>
      <c r="D42" s="27"/>
    </row>
    <row r="43" spans="1:4" s="28" customFormat="1" x14ac:dyDescent="0.3">
      <c r="A43" s="27"/>
      <c r="C43" s="27"/>
      <c r="D43" s="27"/>
    </row>
    <row r="44" spans="1:4" s="28" customFormat="1" x14ac:dyDescent="0.3">
      <c r="A44" s="27"/>
      <c r="C44" s="27"/>
      <c r="D44" s="27"/>
    </row>
    <row r="45" spans="1:4" s="28" customFormat="1" x14ac:dyDescent="0.3">
      <c r="A45" s="27"/>
      <c r="C45" s="27"/>
      <c r="D45" s="27"/>
    </row>
    <row r="46" spans="1:4" s="28" customFormat="1" x14ac:dyDescent="0.3">
      <c r="A46" s="27"/>
      <c r="C46" s="27"/>
      <c r="D46" s="27"/>
    </row>
    <row r="47" spans="1:4" s="28" customFormat="1" x14ac:dyDescent="0.3">
      <c r="A47" s="27"/>
      <c r="C47" s="27"/>
      <c r="D47" s="27"/>
    </row>
    <row r="48" spans="1:4" s="28" customFormat="1" x14ac:dyDescent="0.3">
      <c r="A48" s="27"/>
      <c r="C48" s="27"/>
      <c r="D48" s="27"/>
    </row>
    <row r="49" spans="1:4" s="28" customFormat="1" x14ac:dyDescent="0.3">
      <c r="A49" s="27"/>
      <c r="C49" s="27"/>
      <c r="D49" s="27"/>
    </row>
    <row r="50" spans="1:4" s="28" customFormat="1" x14ac:dyDescent="0.3">
      <c r="A50" s="27"/>
      <c r="C50" s="27"/>
      <c r="D50" s="27"/>
    </row>
    <row r="51" spans="1:4" s="28" customFormat="1" x14ac:dyDescent="0.3">
      <c r="A51" s="27"/>
      <c r="C51" s="27"/>
      <c r="D51" s="27"/>
    </row>
    <row r="52" spans="1:4" s="28" customFormat="1" x14ac:dyDescent="0.3">
      <c r="A52" s="27"/>
      <c r="C52" s="27"/>
      <c r="D52" s="27"/>
    </row>
    <row r="53" spans="1:4" s="28" customFormat="1" x14ac:dyDescent="0.3">
      <c r="A53" s="27"/>
      <c r="C53" s="27"/>
      <c r="D53" s="27"/>
    </row>
    <row r="54" spans="1:4" s="28" customFormat="1" x14ac:dyDescent="0.3">
      <c r="A54" s="27"/>
      <c r="C54" s="27"/>
      <c r="D54" s="27"/>
    </row>
    <row r="55" spans="1:4" s="28" customFormat="1" x14ac:dyDescent="0.3">
      <c r="A55" s="27"/>
      <c r="C55" s="27"/>
      <c r="D55" s="27"/>
    </row>
    <row r="56" spans="1:4" s="28" customFormat="1" x14ac:dyDescent="0.3">
      <c r="A56" s="27"/>
      <c r="C56" s="27"/>
      <c r="D56" s="27"/>
    </row>
    <row r="57" spans="1:4" s="28" customFormat="1" x14ac:dyDescent="0.3">
      <c r="A57" s="27"/>
      <c r="C57" s="27"/>
      <c r="D57" s="27"/>
    </row>
    <row r="58" spans="1:4" s="28" customFormat="1" x14ac:dyDescent="0.3">
      <c r="A58" s="27"/>
      <c r="C58" s="27"/>
      <c r="D58" s="27"/>
    </row>
    <row r="59" spans="1:4" s="28" customFormat="1" x14ac:dyDescent="0.3">
      <c r="A59" s="27"/>
      <c r="C59" s="27"/>
      <c r="D59" s="27"/>
    </row>
    <row r="60" spans="1:4" s="28" customFormat="1" x14ac:dyDescent="0.3">
      <c r="A60" s="27"/>
      <c r="C60" s="27"/>
      <c r="D60" s="27"/>
    </row>
    <row r="61" spans="1:4" s="28" customFormat="1" x14ac:dyDescent="0.3">
      <c r="A61" s="27"/>
      <c r="C61" s="27"/>
      <c r="D61" s="27"/>
    </row>
    <row r="62" spans="1:4" s="28" customFormat="1" x14ac:dyDescent="0.3">
      <c r="A62" s="27"/>
      <c r="C62" s="27"/>
      <c r="D62" s="27"/>
    </row>
    <row r="63" spans="1:4" s="28" customFormat="1" x14ac:dyDescent="0.3">
      <c r="A63" s="27"/>
      <c r="C63" s="27"/>
      <c r="D63" s="27"/>
    </row>
    <row r="64" spans="1:4" s="28" customFormat="1" x14ac:dyDescent="0.3">
      <c r="A64" s="27"/>
      <c r="C64" s="27"/>
      <c r="D64" s="27"/>
    </row>
  </sheetData>
  <mergeCells count="5">
    <mergeCell ref="B1:D1"/>
    <mergeCell ref="B2:D2"/>
    <mergeCell ref="B3:D3"/>
    <mergeCell ref="A4:D4"/>
    <mergeCell ref="E4:I4"/>
  </mergeCells>
  <dataValidations count="1">
    <dataValidation type="list" allowBlank="1" showInputMessage="1" showErrorMessage="1" sqref="E6:E20" xr:uid="{50766B01-6565-43BB-9F35-611D860CDDE8}">
      <formula1>"Passed,Failed,Not Run,Blocked"</formula1>
    </dataValidation>
  </dataValidations>
  <pageMargins left="0.23622047244094491" right="0.23622047244094491" top="0.47244094488188981" bottom="0.47244094488188981" header="0.31496062992125984" footer="0.31496062992125984"/>
  <pageSetup paperSize="8" scale="48" orientation="portrait"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17AE25-A02C-40E2-ADA4-A02E2E9C0740}">
  <dimension ref="A1:I18"/>
  <sheetViews>
    <sheetView workbookViewId="0">
      <selection activeCell="N5" sqref="N5"/>
    </sheetView>
  </sheetViews>
  <sheetFormatPr defaultRowHeight="13.2" x14ac:dyDescent="0.25"/>
  <cols>
    <col min="2" max="2" width="40.6640625" customWidth="1"/>
  </cols>
  <sheetData>
    <row r="1" spans="1:9" ht="18.600000000000001" thickBot="1" x14ac:dyDescent="0.3">
      <c r="A1" s="6" t="s">
        <v>12</v>
      </c>
      <c r="B1" s="90" t="str">
        <f>'List of Tests'!B2</f>
        <v>Test</v>
      </c>
      <c r="C1" s="91"/>
      <c r="D1" s="92"/>
      <c r="E1" s="4"/>
      <c r="F1" s="4"/>
      <c r="G1" s="4"/>
      <c r="H1" s="4"/>
      <c r="I1" s="4"/>
    </row>
    <row r="2" spans="1:9" ht="27.6" x14ac:dyDescent="0.25">
      <c r="A2" s="6" t="s">
        <v>11</v>
      </c>
      <c r="B2" s="93" t="e">
        <f ca="1">INDIRECT("'List of Tests'!B"&amp;(MID(CELL("filename",A1),FIND("]TC",CELL("filename",A1),1)+3,9999)+3))</f>
        <v>#VALUE!</v>
      </c>
      <c r="C2" s="97"/>
      <c r="D2" s="97"/>
      <c r="E2" s="7" t="s">
        <v>25</v>
      </c>
      <c r="F2" s="7" t="str">
        <f>IF(COUNTIF($E$6:$E$964,"Failed")&gt;0,"Failed",IF(COUNTIF($E$6:$E$964,"Blocked")&gt;0,"Blocked",IF(COUNTIF($E$6:$E$964,"Not Run")&gt;0,"Not Run",IF(COUNTIF($E$6:$E$964,"Passed")&gt;0,"Passed","Not Run"))))</f>
        <v>Failed</v>
      </c>
      <c r="G2" s="4"/>
      <c r="H2" s="4"/>
      <c r="I2" s="4"/>
    </row>
    <row r="3" spans="1:9" ht="13.8" x14ac:dyDescent="0.3">
      <c r="A3" s="6" t="s">
        <v>23</v>
      </c>
      <c r="B3" s="95" t="e">
        <f ca="1">INDIRECT("'List of Tests'!C"&amp;(MID(CELL("filename",A1),FIND("]TC",CELL("filename",A1),1)+3,9999)+3))</f>
        <v>#VALUE!</v>
      </c>
      <c r="C3" s="98"/>
      <c r="D3" s="99"/>
      <c r="E3" s="9"/>
      <c r="F3" s="9"/>
      <c r="G3" s="9"/>
      <c r="H3" s="9"/>
      <c r="I3" s="9"/>
    </row>
    <row r="4" spans="1:9" ht="13.8" x14ac:dyDescent="0.3">
      <c r="A4" s="100" t="s">
        <v>6</v>
      </c>
      <c r="B4" s="101"/>
      <c r="C4" s="101"/>
      <c r="D4" s="102"/>
      <c r="E4" s="103" t="s">
        <v>7</v>
      </c>
      <c r="F4" s="104"/>
      <c r="G4" s="104"/>
      <c r="H4" s="104"/>
      <c r="I4" s="105"/>
    </row>
    <row r="5" spans="1:9" ht="55.2" x14ac:dyDescent="0.25">
      <c r="A5" s="11" t="s">
        <v>24</v>
      </c>
      <c r="B5" s="11" t="s">
        <v>1</v>
      </c>
      <c r="C5" s="11" t="s">
        <v>0</v>
      </c>
      <c r="D5" s="12" t="s">
        <v>2</v>
      </c>
      <c r="E5" s="13" t="s">
        <v>3</v>
      </c>
      <c r="F5" s="11" t="s">
        <v>4</v>
      </c>
      <c r="G5" s="14" t="s">
        <v>19</v>
      </c>
      <c r="H5" s="11" t="s">
        <v>8</v>
      </c>
      <c r="I5" s="14" t="s">
        <v>22</v>
      </c>
    </row>
    <row r="6" spans="1:9" ht="55.2" x14ac:dyDescent="0.25">
      <c r="A6" s="32">
        <v>1</v>
      </c>
      <c r="B6" s="33" t="s">
        <v>151</v>
      </c>
      <c r="C6" s="33"/>
      <c r="D6" s="34" t="s">
        <v>152</v>
      </c>
      <c r="E6" s="31" t="s">
        <v>50</v>
      </c>
      <c r="F6" s="23" t="s">
        <v>152</v>
      </c>
      <c r="G6" s="22" t="s">
        <v>56</v>
      </c>
      <c r="H6" s="23" t="s">
        <v>53</v>
      </c>
      <c r="I6" s="23"/>
    </row>
    <row r="7" spans="1:9" ht="41.4" x14ac:dyDescent="0.25">
      <c r="A7" s="16">
        <v>2</v>
      </c>
      <c r="B7" s="23" t="s">
        <v>153</v>
      </c>
      <c r="C7" s="23"/>
      <c r="D7" s="34" t="s">
        <v>154</v>
      </c>
      <c r="E7" s="20" t="s">
        <v>50</v>
      </c>
      <c r="F7" s="23" t="s">
        <v>154</v>
      </c>
      <c r="G7" s="22" t="s">
        <v>56</v>
      </c>
      <c r="H7" s="23" t="s">
        <v>53</v>
      </c>
      <c r="I7" s="23"/>
    </row>
    <row r="8" spans="1:9" ht="55.2" x14ac:dyDescent="0.25">
      <c r="A8" s="32">
        <v>3</v>
      </c>
      <c r="B8" s="23" t="s">
        <v>153</v>
      </c>
      <c r="C8" s="33" t="s">
        <v>155</v>
      </c>
      <c r="D8" s="34" t="s">
        <v>156</v>
      </c>
      <c r="E8" s="49" t="s">
        <v>50</v>
      </c>
      <c r="F8" s="50" t="s">
        <v>157</v>
      </c>
      <c r="G8" s="22" t="s">
        <v>56</v>
      </c>
      <c r="H8" s="23" t="s">
        <v>53</v>
      </c>
      <c r="I8" s="50"/>
    </row>
    <row r="9" spans="1:9" ht="55.2" x14ac:dyDescent="0.25">
      <c r="A9" s="16">
        <v>4</v>
      </c>
      <c r="B9" s="23" t="s">
        <v>153</v>
      </c>
      <c r="C9" s="33" t="s">
        <v>158</v>
      </c>
      <c r="D9" s="34" t="s">
        <v>54</v>
      </c>
      <c r="E9" s="49" t="s">
        <v>50</v>
      </c>
      <c r="F9" s="50" t="s">
        <v>159</v>
      </c>
      <c r="G9" s="22" t="s">
        <v>56</v>
      </c>
      <c r="H9" s="23" t="s">
        <v>53</v>
      </c>
      <c r="I9" s="50"/>
    </row>
    <row r="10" spans="1:9" ht="55.2" x14ac:dyDescent="0.25">
      <c r="A10" s="32">
        <v>5</v>
      </c>
      <c r="B10" s="33" t="s">
        <v>160</v>
      </c>
      <c r="C10" s="23"/>
      <c r="D10" s="34" t="s">
        <v>154</v>
      </c>
      <c r="E10" s="49" t="s">
        <v>50</v>
      </c>
      <c r="F10" s="50" t="s">
        <v>154</v>
      </c>
      <c r="G10" s="22" t="s">
        <v>56</v>
      </c>
      <c r="H10" s="23" t="s">
        <v>53</v>
      </c>
      <c r="I10" s="50"/>
    </row>
    <row r="11" spans="1:9" ht="55.2" x14ac:dyDescent="0.25">
      <c r="A11" s="32">
        <v>6</v>
      </c>
      <c r="B11" s="23" t="s">
        <v>160</v>
      </c>
      <c r="C11" s="35" t="s">
        <v>158</v>
      </c>
      <c r="D11" s="36" t="s">
        <v>54</v>
      </c>
      <c r="E11" s="31" t="s">
        <v>50</v>
      </c>
      <c r="F11" s="23" t="s">
        <v>159</v>
      </c>
      <c r="G11" s="22" t="s">
        <v>56</v>
      </c>
      <c r="H11" s="23" t="s">
        <v>53</v>
      </c>
      <c r="I11" s="23"/>
    </row>
    <row r="12" spans="1:9" ht="55.2" x14ac:dyDescent="0.25">
      <c r="A12" s="16">
        <v>7</v>
      </c>
      <c r="B12" s="23" t="s">
        <v>160</v>
      </c>
      <c r="C12" s="35" t="s">
        <v>161</v>
      </c>
      <c r="D12" s="36" t="s">
        <v>54</v>
      </c>
      <c r="E12" s="31" t="s">
        <v>55</v>
      </c>
      <c r="F12" s="23" t="s">
        <v>154</v>
      </c>
      <c r="G12" s="22" t="s">
        <v>56</v>
      </c>
      <c r="H12" s="23" t="s">
        <v>53</v>
      </c>
      <c r="I12" s="23">
        <v>13</v>
      </c>
    </row>
    <row r="13" spans="1:9" ht="55.2" x14ac:dyDescent="0.25">
      <c r="A13" s="32">
        <v>8</v>
      </c>
      <c r="B13" s="17" t="s">
        <v>162</v>
      </c>
      <c r="C13" s="23" t="s">
        <v>64</v>
      </c>
      <c r="D13" s="26" t="s">
        <v>163</v>
      </c>
      <c r="E13" s="20" t="s">
        <v>50</v>
      </c>
      <c r="F13" s="23" t="s">
        <v>163</v>
      </c>
      <c r="G13" s="22" t="s">
        <v>56</v>
      </c>
      <c r="H13" s="23" t="s">
        <v>53</v>
      </c>
      <c r="I13" s="23"/>
    </row>
    <row r="14" spans="1:9" ht="55.2" x14ac:dyDescent="0.25">
      <c r="A14" s="32">
        <v>9</v>
      </c>
      <c r="B14" s="33" t="s">
        <v>162</v>
      </c>
      <c r="C14" s="35" t="s">
        <v>164</v>
      </c>
      <c r="D14" s="36" t="s">
        <v>54</v>
      </c>
      <c r="E14" s="31" t="s">
        <v>55</v>
      </c>
      <c r="F14" s="23" t="s">
        <v>163</v>
      </c>
      <c r="G14" s="22" t="s">
        <v>56</v>
      </c>
      <c r="H14" s="23" t="s">
        <v>53</v>
      </c>
      <c r="I14" s="23">
        <v>14</v>
      </c>
    </row>
    <row r="15" spans="1:9" ht="55.2" x14ac:dyDescent="0.25">
      <c r="A15" s="16">
        <v>10</v>
      </c>
      <c r="B15" s="17" t="s">
        <v>153</v>
      </c>
      <c r="C15" s="23" t="s">
        <v>164</v>
      </c>
      <c r="D15" s="26" t="s">
        <v>54</v>
      </c>
      <c r="E15" s="20" t="s">
        <v>55</v>
      </c>
      <c r="F15" s="23" t="s">
        <v>154</v>
      </c>
      <c r="G15" s="22" t="s">
        <v>56</v>
      </c>
      <c r="H15" s="23" t="s">
        <v>53</v>
      </c>
      <c r="I15" s="23">
        <v>15</v>
      </c>
    </row>
    <row r="16" spans="1:9" ht="41.4" x14ac:dyDescent="0.25">
      <c r="A16" s="32">
        <v>11</v>
      </c>
      <c r="B16" s="33" t="s">
        <v>165</v>
      </c>
      <c r="C16" s="35" t="s">
        <v>166</v>
      </c>
      <c r="D16" s="36" t="s">
        <v>154</v>
      </c>
      <c r="E16" s="20" t="s">
        <v>50</v>
      </c>
      <c r="F16" s="23" t="s">
        <v>154</v>
      </c>
      <c r="G16" s="22" t="s">
        <v>56</v>
      </c>
      <c r="H16" s="23" t="s">
        <v>53</v>
      </c>
      <c r="I16" s="23"/>
    </row>
    <row r="17" spans="1:9" ht="55.2" x14ac:dyDescent="0.25">
      <c r="A17" s="32">
        <v>12</v>
      </c>
      <c r="B17" s="33" t="s">
        <v>165</v>
      </c>
      <c r="C17" s="35" t="s">
        <v>164</v>
      </c>
      <c r="D17" s="36" t="s">
        <v>54</v>
      </c>
      <c r="E17" s="20" t="s">
        <v>55</v>
      </c>
      <c r="F17" s="23" t="s">
        <v>154</v>
      </c>
      <c r="G17" s="22" t="s">
        <v>56</v>
      </c>
      <c r="H17" s="23" t="s">
        <v>53</v>
      </c>
      <c r="I17" s="23">
        <v>16</v>
      </c>
    </row>
    <row r="18" spans="1:9" ht="41.4" x14ac:dyDescent="0.25">
      <c r="A18" s="32">
        <v>13</v>
      </c>
      <c r="B18" s="33" t="s">
        <v>167</v>
      </c>
      <c r="C18" s="35"/>
      <c r="D18" s="36" t="s">
        <v>168</v>
      </c>
      <c r="E18" s="20" t="s">
        <v>50</v>
      </c>
      <c r="F18" s="23" t="s">
        <v>169</v>
      </c>
      <c r="G18" s="22" t="s">
        <v>56</v>
      </c>
      <c r="H18" s="23" t="s">
        <v>53</v>
      </c>
      <c r="I18" s="23"/>
    </row>
  </sheetData>
  <mergeCells count="5">
    <mergeCell ref="B1:D1"/>
    <mergeCell ref="B2:D2"/>
    <mergeCell ref="B3:D3"/>
    <mergeCell ref="A4:D4"/>
    <mergeCell ref="E4:I4"/>
  </mergeCells>
  <dataValidations count="1">
    <dataValidation type="list" allowBlank="1" showInputMessage="1" showErrorMessage="1" sqref="E6:E18" xr:uid="{5DABC5FC-C59A-4090-8676-7ADE3E3D636F}">
      <formula1>"Passed,Failed,Not Run,Blocked"</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A6F4D4-A7B1-4AB5-A6F8-786362599648}">
  <sheetPr codeName="Sheet17">
    <pageSetUpPr fitToPage="1"/>
  </sheetPr>
  <dimension ref="A1:J64"/>
  <sheetViews>
    <sheetView tabSelected="1" workbookViewId="0">
      <selection activeCell="G10" sqref="G10"/>
    </sheetView>
  </sheetViews>
  <sheetFormatPr defaultColWidth="9.109375" defaultRowHeight="13.8" x14ac:dyDescent="0.3"/>
  <cols>
    <col min="1" max="1" width="7.88671875" style="29" customWidth="1"/>
    <col min="2" max="2" width="29.5546875" style="30" customWidth="1"/>
    <col min="3" max="3" width="16.44140625" style="29" customWidth="1"/>
    <col min="4" max="4" width="17.33203125" style="29" customWidth="1"/>
    <col min="5" max="5" width="22.6640625" style="30" customWidth="1"/>
    <col min="6" max="6" width="38.5546875" style="30" customWidth="1"/>
    <col min="7" max="7" width="11.109375" style="30" customWidth="1"/>
    <col min="8" max="8" width="16" style="30" customWidth="1"/>
    <col min="9" max="9" width="14.6640625" style="30" customWidth="1"/>
    <col min="10" max="16384" width="9.109375" style="30"/>
  </cols>
  <sheetData>
    <row r="1" spans="1:10" s="5" customFormat="1" ht="18.600000000000001" thickBot="1" x14ac:dyDescent="0.3">
      <c r="A1" s="6" t="s">
        <v>12</v>
      </c>
      <c r="B1" s="90" t="str">
        <f>'List of Tests'!B2</f>
        <v>Test</v>
      </c>
      <c r="C1" s="91"/>
      <c r="D1" s="92"/>
      <c r="E1" s="4"/>
      <c r="F1" s="4"/>
      <c r="G1" s="4"/>
      <c r="H1" s="4"/>
      <c r="I1" s="4"/>
    </row>
    <row r="2" spans="1:10" s="5" customFormat="1" x14ac:dyDescent="0.25">
      <c r="A2" s="6" t="s">
        <v>11</v>
      </c>
      <c r="B2" s="93" t="e">
        <f ca="1">INDIRECT("'List of Tests'!B"&amp;(MID(CELL("filename",A1),FIND("]TC",CELL("filename",A1),1)+3,9999)+3))</f>
        <v>#VALUE!</v>
      </c>
      <c r="C2" s="97"/>
      <c r="D2" s="97"/>
      <c r="E2" s="7" t="s">
        <v>25</v>
      </c>
      <c r="F2" s="7" t="str">
        <f>IF(COUNTIF($E$6:$E$964,"Failed")&gt;0,"Failed",IF(COUNTIF($E$6:$E$964,"Blocked")&gt;0,"Blocked",IF(COUNTIF($E$6:$E$964,"Not Run")&gt;0,"Not Run",IF(COUNTIF($E$6:$E$964,"Passed")&gt;0,"Passed","Not Run"))))</f>
        <v>Passed</v>
      </c>
      <c r="G2" s="4"/>
      <c r="H2" s="4"/>
      <c r="I2" s="4"/>
    </row>
    <row r="3" spans="1:10" s="5" customFormat="1" x14ac:dyDescent="0.3">
      <c r="A3" s="6" t="s">
        <v>23</v>
      </c>
      <c r="B3" s="95" t="e">
        <f ca="1">INDIRECT("'List of Tests'!C"&amp;(MID(CELL("filename",A1),FIND("]TC",CELL("filename",A1),1)+3,9999)+3))</f>
        <v>#VALUE!</v>
      </c>
      <c r="C3" s="98"/>
      <c r="D3" s="99"/>
      <c r="E3" s="9"/>
      <c r="F3" s="9"/>
      <c r="G3" s="9"/>
      <c r="H3" s="9"/>
      <c r="I3" s="9"/>
    </row>
    <row r="4" spans="1:10" x14ac:dyDescent="0.3">
      <c r="A4" s="100" t="s">
        <v>6</v>
      </c>
      <c r="B4" s="101"/>
      <c r="C4" s="101"/>
      <c r="D4" s="102"/>
      <c r="E4" s="103" t="s">
        <v>7</v>
      </c>
      <c r="F4" s="104"/>
      <c r="G4" s="104"/>
      <c r="H4" s="104"/>
      <c r="I4" s="105"/>
    </row>
    <row r="5" spans="1:10" s="15" customFormat="1" ht="27.6" x14ac:dyDescent="0.25">
      <c r="A5" s="11" t="s">
        <v>24</v>
      </c>
      <c r="B5" s="11" t="s">
        <v>1</v>
      </c>
      <c r="C5" s="11" t="s">
        <v>0</v>
      </c>
      <c r="D5" s="12" t="s">
        <v>2</v>
      </c>
      <c r="E5" s="13" t="s">
        <v>3</v>
      </c>
      <c r="F5" s="11" t="s">
        <v>4</v>
      </c>
      <c r="G5" s="14" t="s">
        <v>19</v>
      </c>
      <c r="H5" s="11" t="s">
        <v>8</v>
      </c>
      <c r="I5" s="14" t="s">
        <v>22</v>
      </c>
    </row>
    <row r="6" spans="1:10" s="21" customFormat="1" ht="54" customHeight="1" x14ac:dyDescent="0.25">
      <c r="A6" s="32">
        <v>1</v>
      </c>
      <c r="B6" s="33" t="s">
        <v>240</v>
      </c>
      <c r="C6" s="33" t="s">
        <v>241</v>
      </c>
      <c r="D6" s="34" t="s">
        <v>242</v>
      </c>
      <c r="E6" s="31" t="s">
        <v>50</v>
      </c>
      <c r="F6" s="23" t="s">
        <v>243</v>
      </c>
      <c r="G6" s="22" t="s">
        <v>233</v>
      </c>
      <c r="H6" s="23" t="s">
        <v>53</v>
      </c>
      <c r="I6" s="23"/>
      <c r="J6" s="24"/>
    </row>
    <row r="7" spans="1:10" s="21" customFormat="1" ht="57" customHeight="1" x14ac:dyDescent="0.25">
      <c r="A7" s="16">
        <v>2</v>
      </c>
      <c r="B7" s="23" t="s">
        <v>244</v>
      </c>
      <c r="C7" s="23" t="s">
        <v>241</v>
      </c>
      <c r="D7" s="34" t="s">
        <v>245</v>
      </c>
      <c r="E7" s="20" t="s">
        <v>50</v>
      </c>
      <c r="F7" s="23" t="s">
        <v>245</v>
      </c>
      <c r="G7" s="22" t="s">
        <v>246</v>
      </c>
      <c r="H7" s="23" t="s">
        <v>53</v>
      </c>
      <c r="I7" s="23"/>
      <c r="J7" s="24"/>
    </row>
    <row r="8" spans="1:10" s="21" customFormat="1" ht="52.5" customHeight="1" x14ac:dyDescent="0.25">
      <c r="A8" s="32">
        <v>3</v>
      </c>
      <c r="B8" s="23" t="s">
        <v>247</v>
      </c>
      <c r="C8" s="33" t="s">
        <v>241</v>
      </c>
      <c r="D8" s="34" t="s">
        <v>248</v>
      </c>
      <c r="E8" s="49" t="s">
        <v>50</v>
      </c>
      <c r="F8" s="34" t="s">
        <v>248</v>
      </c>
      <c r="G8" s="22" t="s">
        <v>246</v>
      </c>
      <c r="H8" s="23" t="s">
        <v>53</v>
      </c>
      <c r="I8" s="50"/>
      <c r="J8" s="24"/>
    </row>
    <row r="9" spans="1:10" s="21" customFormat="1" ht="42" customHeight="1" x14ac:dyDescent="0.25">
      <c r="A9" s="16">
        <v>4</v>
      </c>
      <c r="B9" s="33"/>
      <c r="C9" s="33"/>
      <c r="D9" s="34"/>
      <c r="E9" s="49"/>
      <c r="F9" s="50"/>
      <c r="G9" s="22" t="s">
        <v>246</v>
      </c>
      <c r="H9" s="23" t="s">
        <v>53</v>
      </c>
      <c r="I9" s="50"/>
      <c r="J9" s="24"/>
    </row>
    <row r="10" spans="1:10" s="21" customFormat="1" ht="51" customHeight="1" x14ac:dyDescent="0.25">
      <c r="A10" s="32">
        <v>5</v>
      </c>
      <c r="B10" s="23"/>
      <c r="C10" s="23"/>
      <c r="D10" s="34"/>
      <c r="E10" s="49"/>
      <c r="F10" s="50"/>
      <c r="G10" s="22" t="s">
        <v>246</v>
      </c>
      <c r="H10" s="23" t="s">
        <v>53</v>
      </c>
      <c r="I10" s="50"/>
      <c r="J10" s="24"/>
    </row>
    <row r="11" spans="1:10" s="21" customFormat="1" ht="27.6" x14ac:dyDescent="0.25">
      <c r="A11" s="16">
        <v>6</v>
      </c>
      <c r="B11" s="23"/>
      <c r="C11" s="35"/>
      <c r="D11" s="36"/>
      <c r="E11" s="31"/>
      <c r="F11" s="23"/>
      <c r="G11" s="22" t="s">
        <v>246</v>
      </c>
      <c r="H11" s="23" t="s">
        <v>53</v>
      </c>
      <c r="I11" s="23"/>
      <c r="J11" s="24"/>
    </row>
    <row r="12" spans="1:10" s="21" customFormat="1" ht="27.6" x14ac:dyDescent="0.25">
      <c r="A12" s="32">
        <v>7</v>
      </c>
      <c r="B12" s="23"/>
      <c r="C12" s="35"/>
      <c r="D12" s="36"/>
      <c r="E12" s="31"/>
      <c r="F12" s="23"/>
      <c r="G12" s="22" t="s">
        <v>246</v>
      </c>
      <c r="H12" s="23" t="s">
        <v>53</v>
      </c>
      <c r="I12" s="23"/>
      <c r="J12" s="24"/>
    </row>
    <row r="13" spans="1:10" s="21" customFormat="1" x14ac:dyDescent="0.25">
      <c r="A13" s="16">
        <v>8</v>
      </c>
      <c r="B13" s="17"/>
      <c r="C13" s="23"/>
      <c r="D13" s="26"/>
      <c r="E13" s="20"/>
      <c r="F13" s="23"/>
      <c r="G13" s="22"/>
      <c r="H13" s="23"/>
      <c r="I13" s="23"/>
      <c r="J13" s="24"/>
    </row>
    <row r="14" spans="1:10" s="21" customFormat="1" x14ac:dyDescent="0.25">
      <c r="A14" s="16"/>
      <c r="B14" s="33"/>
      <c r="C14" s="35"/>
      <c r="D14" s="36"/>
      <c r="E14" s="31"/>
      <c r="F14" s="23"/>
      <c r="G14" s="22"/>
      <c r="H14" s="23"/>
      <c r="I14" s="23"/>
      <c r="J14" s="24"/>
    </row>
    <row r="15" spans="1:10" s="21" customFormat="1" x14ac:dyDescent="0.25">
      <c r="A15" s="16"/>
      <c r="B15" s="17"/>
      <c r="C15" s="23"/>
      <c r="D15" s="26"/>
      <c r="E15" s="20"/>
      <c r="F15" s="23"/>
      <c r="G15" s="22"/>
      <c r="H15" s="23"/>
      <c r="I15" s="23"/>
      <c r="J15" s="24"/>
    </row>
    <row r="16" spans="1:10" s="21" customFormat="1" x14ac:dyDescent="0.25">
      <c r="A16" s="16"/>
      <c r="B16" s="33"/>
      <c r="C16" s="35"/>
      <c r="D16" s="36"/>
      <c r="E16" s="20"/>
      <c r="F16" s="23"/>
      <c r="G16" s="22"/>
      <c r="H16" s="23"/>
      <c r="I16" s="23"/>
      <c r="J16" s="24"/>
    </row>
    <row r="17" spans="1:10" s="21" customFormat="1" x14ac:dyDescent="0.25">
      <c r="A17" s="32"/>
      <c r="B17" s="33"/>
      <c r="C17" s="36"/>
      <c r="D17" s="36"/>
      <c r="E17" s="20"/>
      <c r="F17" s="23"/>
      <c r="G17" s="22"/>
      <c r="H17" s="23"/>
      <c r="I17" s="23"/>
      <c r="J17" s="24"/>
    </row>
    <row r="18" spans="1:10" s="21" customFormat="1" x14ac:dyDescent="0.25">
      <c r="A18" s="32"/>
      <c r="B18" s="33"/>
      <c r="C18" s="35"/>
      <c r="D18" s="36"/>
      <c r="E18" s="20"/>
      <c r="F18" s="23"/>
      <c r="G18" s="22"/>
      <c r="H18" s="23"/>
      <c r="I18" s="23"/>
      <c r="J18" s="24"/>
    </row>
    <row r="19" spans="1:10" s="21" customFormat="1" x14ac:dyDescent="0.25">
      <c r="A19" s="32"/>
      <c r="B19" s="33"/>
      <c r="C19" s="35"/>
      <c r="D19" s="36"/>
      <c r="E19" s="20"/>
      <c r="F19" s="23"/>
      <c r="G19" s="22"/>
      <c r="H19" s="23"/>
      <c r="I19" s="23"/>
      <c r="J19" s="24"/>
    </row>
    <row r="20" spans="1:10" s="21" customFormat="1" x14ac:dyDescent="0.25">
      <c r="A20" s="16"/>
      <c r="B20" s="17"/>
      <c r="C20" s="23"/>
      <c r="D20" s="26"/>
      <c r="E20" s="20"/>
      <c r="F20" s="23"/>
      <c r="G20" s="22"/>
      <c r="H20" s="23"/>
      <c r="I20" s="23"/>
      <c r="J20" s="24"/>
    </row>
    <row r="21" spans="1:10" s="28" customFormat="1" x14ac:dyDescent="0.3">
      <c r="A21" s="27"/>
      <c r="B21" s="30"/>
      <c r="C21" s="43"/>
      <c r="D21" s="27"/>
      <c r="E21" s="40"/>
      <c r="G21" s="41"/>
    </row>
    <row r="22" spans="1:10" s="28" customFormat="1" x14ac:dyDescent="0.3">
      <c r="A22" s="27"/>
      <c r="C22" s="27"/>
      <c r="D22" s="27"/>
      <c r="E22" s="40"/>
      <c r="G22" s="41"/>
    </row>
    <row r="23" spans="1:10" s="28" customFormat="1" x14ac:dyDescent="0.3">
      <c r="A23" s="27"/>
      <c r="C23" s="27"/>
      <c r="D23" s="27"/>
      <c r="E23" s="40"/>
      <c r="G23" s="41"/>
    </row>
    <row r="24" spans="1:10" s="28" customFormat="1" x14ac:dyDescent="0.3">
      <c r="A24" s="27"/>
      <c r="C24" s="27"/>
      <c r="D24" s="27"/>
      <c r="E24" s="40"/>
      <c r="G24" s="41"/>
    </row>
    <row r="25" spans="1:10" s="28" customFormat="1" x14ac:dyDescent="0.3">
      <c r="A25" s="27"/>
      <c r="C25" s="27"/>
      <c r="D25" s="27"/>
    </row>
    <row r="26" spans="1:10" s="28" customFormat="1" x14ac:dyDescent="0.3">
      <c r="A26" s="27"/>
      <c r="C26" s="27"/>
      <c r="D26" s="27"/>
    </row>
    <row r="27" spans="1:10" s="28" customFormat="1" x14ac:dyDescent="0.3">
      <c r="A27" s="27"/>
      <c r="C27" s="27"/>
      <c r="D27" s="27"/>
    </row>
    <row r="28" spans="1:10" s="28" customFormat="1" x14ac:dyDescent="0.3">
      <c r="A28" s="27"/>
      <c r="C28" s="27"/>
      <c r="D28" s="27"/>
    </row>
    <row r="29" spans="1:10" s="28" customFormat="1" x14ac:dyDescent="0.3">
      <c r="A29" s="27"/>
      <c r="C29" s="27"/>
      <c r="D29" s="27"/>
    </row>
    <row r="30" spans="1:10" s="28" customFormat="1" x14ac:dyDescent="0.3">
      <c r="A30" s="27"/>
      <c r="C30" s="27"/>
      <c r="D30" s="27"/>
    </row>
    <row r="31" spans="1:10" s="28" customFormat="1" x14ac:dyDescent="0.3">
      <c r="A31" s="27"/>
      <c r="C31" s="27"/>
      <c r="D31" s="27"/>
    </row>
    <row r="32" spans="1:10" s="28" customFormat="1" x14ac:dyDescent="0.3">
      <c r="A32" s="27"/>
      <c r="C32" s="27"/>
      <c r="D32" s="27"/>
    </row>
    <row r="33" spans="1:4" s="28" customFormat="1" x14ac:dyDescent="0.3">
      <c r="A33" s="27"/>
      <c r="C33" s="27"/>
      <c r="D33" s="27"/>
    </row>
    <row r="34" spans="1:4" s="28" customFormat="1" x14ac:dyDescent="0.3">
      <c r="A34" s="27"/>
      <c r="C34" s="27"/>
      <c r="D34" s="27"/>
    </row>
    <row r="35" spans="1:4" s="28" customFormat="1" x14ac:dyDescent="0.3">
      <c r="A35" s="27"/>
      <c r="C35" s="27"/>
      <c r="D35" s="27"/>
    </row>
    <row r="36" spans="1:4" s="28" customFormat="1" x14ac:dyDescent="0.3">
      <c r="A36" s="27"/>
      <c r="C36" s="27"/>
      <c r="D36" s="27"/>
    </row>
    <row r="37" spans="1:4" s="28" customFormat="1" x14ac:dyDescent="0.3">
      <c r="A37" s="27"/>
      <c r="C37" s="27"/>
      <c r="D37" s="27"/>
    </row>
    <row r="38" spans="1:4" s="28" customFormat="1" x14ac:dyDescent="0.3">
      <c r="A38" s="27"/>
      <c r="C38" s="27"/>
      <c r="D38" s="27"/>
    </row>
    <row r="39" spans="1:4" s="28" customFormat="1" x14ac:dyDescent="0.3">
      <c r="A39" s="27"/>
      <c r="C39" s="27"/>
      <c r="D39" s="27"/>
    </row>
    <row r="40" spans="1:4" s="28" customFormat="1" x14ac:dyDescent="0.3">
      <c r="A40" s="27"/>
      <c r="C40" s="27"/>
      <c r="D40" s="27"/>
    </row>
    <row r="41" spans="1:4" s="28" customFormat="1" x14ac:dyDescent="0.3">
      <c r="A41" s="27"/>
      <c r="C41" s="27"/>
      <c r="D41" s="27"/>
    </row>
    <row r="42" spans="1:4" s="28" customFormat="1" x14ac:dyDescent="0.3">
      <c r="A42" s="27"/>
      <c r="C42" s="27"/>
      <c r="D42" s="27"/>
    </row>
    <row r="43" spans="1:4" s="28" customFormat="1" x14ac:dyDescent="0.3">
      <c r="A43" s="27"/>
      <c r="C43" s="27"/>
      <c r="D43" s="27"/>
    </row>
    <row r="44" spans="1:4" s="28" customFormat="1" x14ac:dyDescent="0.3">
      <c r="A44" s="27"/>
      <c r="C44" s="27"/>
      <c r="D44" s="27"/>
    </row>
    <row r="45" spans="1:4" s="28" customFormat="1" x14ac:dyDescent="0.3">
      <c r="A45" s="27"/>
      <c r="C45" s="27"/>
      <c r="D45" s="27"/>
    </row>
    <row r="46" spans="1:4" s="28" customFormat="1" x14ac:dyDescent="0.3">
      <c r="A46" s="27"/>
      <c r="C46" s="27"/>
      <c r="D46" s="27"/>
    </row>
    <row r="47" spans="1:4" s="28" customFormat="1" x14ac:dyDescent="0.3">
      <c r="A47" s="27"/>
      <c r="C47" s="27"/>
      <c r="D47" s="27"/>
    </row>
    <row r="48" spans="1:4" s="28" customFormat="1" x14ac:dyDescent="0.3">
      <c r="A48" s="27"/>
      <c r="C48" s="27"/>
      <c r="D48" s="27"/>
    </row>
    <row r="49" spans="1:4" s="28" customFormat="1" x14ac:dyDescent="0.3">
      <c r="A49" s="27"/>
      <c r="C49" s="27"/>
      <c r="D49" s="27"/>
    </row>
    <row r="50" spans="1:4" s="28" customFormat="1" x14ac:dyDescent="0.3">
      <c r="A50" s="27"/>
      <c r="C50" s="27"/>
      <c r="D50" s="27"/>
    </row>
    <row r="51" spans="1:4" s="28" customFormat="1" x14ac:dyDescent="0.3">
      <c r="A51" s="27"/>
      <c r="C51" s="27"/>
      <c r="D51" s="27"/>
    </row>
    <row r="52" spans="1:4" s="28" customFormat="1" x14ac:dyDescent="0.3">
      <c r="A52" s="27"/>
      <c r="C52" s="27"/>
      <c r="D52" s="27"/>
    </row>
    <row r="53" spans="1:4" s="28" customFormat="1" x14ac:dyDescent="0.3">
      <c r="A53" s="27"/>
      <c r="C53" s="27"/>
      <c r="D53" s="27"/>
    </row>
    <row r="54" spans="1:4" s="28" customFormat="1" x14ac:dyDescent="0.3">
      <c r="A54" s="27"/>
      <c r="C54" s="27"/>
      <c r="D54" s="27"/>
    </row>
    <row r="55" spans="1:4" s="28" customFormat="1" x14ac:dyDescent="0.3">
      <c r="A55" s="27"/>
      <c r="C55" s="27"/>
      <c r="D55" s="27"/>
    </row>
    <row r="56" spans="1:4" s="28" customFormat="1" x14ac:dyDescent="0.3">
      <c r="A56" s="27"/>
      <c r="C56" s="27"/>
      <c r="D56" s="27"/>
    </row>
    <row r="57" spans="1:4" s="28" customFormat="1" x14ac:dyDescent="0.3">
      <c r="A57" s="27"/>
      <c r="C57" s="27"/>
      <c r="D57" s="27"/>
    </row>
    <row r="58" spans="1:4" s="28" customFormat="1" x14ac:dyDescent="0.3">
      <c r="A58" s="27"/>
      <c r="C58" s="27"/>
      <c r="D58" s="27"/>
    </row>
    <row r="59" spans="1:4" s="28" customFormat="1" x14ac:dyDescent="0.3">
      <c r="A59" s="27"/>
      <c r="C59" s="27"/>
      <c r="D59" s="27"/>
    </row>
    <row r="60" spans="1:4" s="28" customFormat="1" x14ac:dyDescent="0.3">
      <c r="A60" s="27"/>
      <c r="C60" s="27"/>
      <c r="D60" s="27"/>
    </row>
    <row r="61" spans="1:4" s="28" customFormat="1" x14ac:dyDescent="0.3">
      <c r="A61" s="27"/>
      <c r="C61" s="27"/>
      <c r="D61" s="27"/>
    </row>
    <row r="62" spans="1:4" s="28" customFormat="1" x14ac:dyDescent="0.3">
      <c r="A62" s="27"/>
      <c r="C62" s="27"/>
      <c r="D62" s="27"/>
    </row>
    <row r="63" spans="1:4" s="28" customFormat="1" x14ac:dyDescent="0.3">
      <c r="A63" s="27"/>
      <c r="C63" s="27"/>
      <c r="D63" s="27"/>
    </row>
    <row r="64" spans="1:4" s="28" customFormat="1" x14ac:dyDescent="0.3">
      <c r="A64" s="27"/>
      <c r="C64" s="27"/>
      <c r="D64" s="27"/>
    </row>
  </sheetData>
  <mergeCells count="5">
    <mergeCell ref="B1:D1"/>
    <mergeCell ref="B2:D2"/>
    <mergeCell ref="B3:D3"/>
    <mergeCell ref="A4:D4"/>
    <mergeCell ref="E4:I4"/>
  </mergeCells>
  <dataValidations count="1">
    <dataValidation type="list" allowBlank="1" showInputMessage="1" showErrorMessage="1" sqref="E6:E20" xr:uid="{521F1CFB-58E1-4CEE-AD9A-B2908676EEBE}">
      <formula1>"Passed,Failed,Not Run,Blocked"</formula1>
    </dataValidation>
  </dataValidations>
  <pageMargins left="0.23622047244094491" right="0.23622047244094491" top="0.47244094488188981" bottom="0.47244094488188981" header="0.31496062992125984" footer="0.31496062992125984"/>
  <pageSetup paperSize="8" scale="48" orientation="portrait"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B3:O16"/>
  <sheetViews>
    <sheetView zoomScale="75" workbookViewId="0">
      <selection activeCell="G7" sqref="G7"/>
    </sheetView>
  </sheetViews>
  <sheetFormatPr defaultRowHeight="13.2" x14ac:dyDescent="0.25"/>
  <cols>
    <col min="1" max="1" width="4.109375" customWidth="1"/>
    <col min="3" max="3" width="13" style="68" customWidth="1"/>
    <col min="4" max="4" width="22" customWidth="1"/>
    <col min="5" max="6" width="21.5546875" customWidth="1"/>
    <col min="7" max="7" width="20.33203125" bestFit="1" customWidth="1"/>
    <col min="8" max="8" width="20.33203125" customWidth="1"/>
    <col min="9" max="9" width="16.5546875" customWidth="1"/>
    <col min="10" max="10" width="13.33203125" customWidth="1"/>
    <col min="11" max="11" width="12.33203125" customWidth="1"/>
    <col min="12" max="12" width="11.5546875" customWidth="1"/>
    <col min="13" max="13" width="17.109375" customWidth="1"/>
    <col min="14" max="14" width="11.88671875" customWidth="1"/>
    <col min="15" max="15" width="16.33203125" customWidth="1"/>
    <col min="257" max="257" width="4.109375" customWidth="1"/>
    <col min="259" max="259" width="13" customWidth="1"/>
    <col min="260" max="260" width="22" customWidth="1"/>
    <col min="261" max="262" width="21.5546875" customWidth="1"/>
    <col min="263" max="263" width="20.33203125" bestFit="1" customWidth="1"/>
    <col min="264" max="264" width="20.33203125" customWidth="1"/>
    <col min="265" max="265" width="16.5546875" customWidth="1"/>
    <col min="266" max="266" width="13.33203125" customWidth="1"/>
    <col min="267" max="267" width="12.33203125" customWidth="1"/>
    <col min="268" max="268" width="11.5546875" customWidth="1"/>
    <col min="269" max="269" width="17.109375" customWidth="1"/>
    <col min="270" max="270" width="11.88671875" customWidth="1"/>
    <col min="271" max="271" width="16.33203125" customWidth="1"/>
    <col min="513" max="513" width="4.109375" customWidth="1"/>
    <col min="515" max="515" width="13" customWidth="1"/>
    <col min="516" max="516" width="22" customWidth="1"/>
    <col min="517" max="518" width="21.5546875" customWidth="1"/>
    <col min="519" max="519" width="20.33203125" bestFit="1" customWidth="1"/>
    <col min="520" max="520" width="20.33203125" customWidth="1"/>
    <col min="521" max="521" width="16.5546875" customWidth="1"/>
    <col min="522" max="522" width="13.33203125" customWidth="1"/>
    <col min="523" max="523" width="12.33203125" customWidth="1"/>
    <col min="524" max="524" width="11.5546875" customWidth="1"/>
    <col min="525" max="525" width="17.109375" customWidth="1"/>
    <col min="526" max="526" width="11.88671875" customWidth="1"/>
    <col min="527" max="527" width="16.33203125" customWidth="1"/>
    <col min="769" max="769" width="4.109375" customWidth="1"/>
    <col min="771" max="771" width="13" customWidth="1"/>
    <col min="772" max="772" width="22" customWidth="1"/>
    <col min="773" max="774" width="21.5546875" customWidth="1"/>
    <col min="775" max="775" width="20.33203125" bestFit="1" customWidth="1"/>
    <col min="776" max="776" width="20.33203125" customWidth="1"/>
    <col min="777" max="777" width="16.5546875" customWidth="1"/>
    <col min="778" max="778" width="13.33203125" customWidth="1"/>
    <col min="779" max="779" width="12.33203125" customWidth="1"/>
    <col min="780" max="780" width="11.5546875" customWidth="1"/>
    <col min="781" max="781" width="17.109375" customWidth="1"/>
    <col min="782" max="782" width="11.88671875" customWidth="1"/>
    <col min="783" max="783" width="16.33203125" customWidth="1"/>
    <col min="1025" max="1025" width="4.109375" customWidth="1"/>
    <col min="1027" max="1027" width="13" customWidth="1"/>
    <col min="1028" max="1028" width="22" customWidth="1"/>
    <col min="1029" max="1030" width="21.5546875" customWidth="1"/>
    <col min="1031" max="1031" width="20.33203125" bestFit="1" customWidth="1"/>
    <col min="1032" max="1032" width="20.33203125" customWidth="1"/>
    <col min="1033" max="1033" width="16.5546875" customWidth="1"/>
    <col min="1034" max="1034" width="13.33203125" customWidth="1"/>
    <col min="1035" max="1035" width="12.33203125" customWidth="1"/>
    <col min="1036" max="1036" width="11.5546875" customWidth="1"/>
    <col min="1037" max="1037" width="17.109375" customWidth="1"/>
    <col min="1038" max="1038" width="11.88671875" customWidth="1"/>
    <col min="1039" max="1039" width="16.33203125" customWidth="1"/>
    <col min="1281" max="1281" width="4.109375" customWidth="1"/>
    <col min="1283" max="1283" width="13" customWidth="1"/>
    <col min="1284" max="1284" width="22" customWidth="1"/>
    <col min="1285" max="1286" width="21.5546875" customWidth="1"/>
    <col min="1287" max="1287" width="20.33203125" bestFit="1" customWidth="1"/>
    <col min="1288" max="1288" width="20.33203125" customWidth="1"/>
    <col min="1289" max="1289" width="16.5546875" customWidth="1"/>
    <col min="1290" max="1290" width="13.33203125" customWidth="1"/>
    <col min="1291" max="1291" width="12.33203125" customWidth="1"/>
    <col min="1292" max="1292" width="11.5546875" customWidth="1"/>
    <col min="1293" max="1293" width="17.109375" customWidth="1"/>
    <col min="1294" max="1294" width="11.88671875" customWidth="1"/>
    <col min="1295" max="1295" width="16.33203125" customWidth="1"/>
    <col min="1537" max="1537" width="4.109375" customWidth="1"/>
    <col min="1539" max="1539" width="13" customWidth="1"/>
    <col min="1540" max="1540" width="22" customWidth="1"/>
    <col min="1541" max="1542" width="21.5546875" customWidth="1"/>
    <col min="1543" max="1543" width="20.33203125" bestFit="1" customWidth="1"/>
    <col min="1544" max="1544" width="20.33203125" customWidth="1"/>
    <col min="1545" max="1545" width="16.5546875" customWidth="1"/>
    <col min="1546" max="1546" width="13.33203125" customWidth="1"/>
    <col min="1547" max="1547" width="12.33203125" customWidth="1"/>
    <col min="1548" max="1548" width="11.5546875" customWidth="1"/>
    <col min="1549" max="1549" width="17.109375" customWidth="1"/>
    <col min="1550" max="1550" width="11.88671875" customWidth="1"/>
    <col min="1551" max="1551" width="16.33203125" customWidth="1"/>
    <col min="1793" max="1793" width="4.109375" customWidth="1"/>
    <col min="1795" max="1795" width="13" customWidth="1"/>
    <col min="1796" max="1796" width="22" customWidth="1"/>
    <col min="1797" max="1798" width="21.5546875" customWidth="1"/>
    <col min="1799" max="1799" width="20.33203125" bestFit="1" customWidth="1"/>
    <col min="1800" max="1800" width="20.33203125" customWidth="1"/>
    <col min="1801" max="1801" width="16.5546875" customWidth="1"/>
    <col min="1802" max="1802" width="13.33203125" customWidth="1"/>
    <col min="1803" max="1803" width="12.33203125" customWidth="1"/>
    <col min="1804" max="1804" width="11.5546875" customWidth="1"/>
    <col min="1805" max="1805" width="17.109375" customWidth="1"/>
    <col min="1806" max="1806" width="11.88671875" customWidth="1"/>
    <col min="1807" max="1807" width="16.33203125" customWidth="1"/>
    <col min="2049" max="2049" width="4.109375" customWidth="1"/>
    <col min="2051" max="2051" width="13" customWidth="1"/>
    <col min="2052" max="2052" width="22" customWidth="1"/>
    <col min="2053" max="2054" width="21.5546875" customWidth="1"/>
    <col min="2055" max="2055" width="20.33203125" bestFit="1" customWidth="1"/>
    <col min="2056" max="2056" width="20.33203125" customWidth="1"/>
    <col min="2057" max="2057" width="16.5546875" customWidth="1"/>
    <col min="2058" max="2058" width="13.33203125" customWidth="1"/>
    <col min="2059" max="2059" width="12.33203125" customWidth="1"/>
    <col min="2060" max="2060" width="11.5546875" customWidth="1"/>
    <col min="2061" max="2061" width="17.109375" customWidth="1"/>
    <col min="2062" max="2062" width="11.88671875" customWidth="1"/>
    <col min="2063" max="2063" width="16.33203125" customWidth="1"/>
    <col min="2305" max="2305" width="4.109375" customWidth="1"/>
    <col min="2307" max="2307" width="13" customWidth="1"/>
    <col min="2308" max="2308" width="22" customWidth="1"/>
    <col min="2309" max="2310" width="21.5546875" customWidth="1"/>
    <col min="2311" max="2311" width="20.33203125" bestFit="1" customWidth="1"/>
    <col min="2312" max="2312" width="20.33203125" customWidth="1"/>
    <col min="2313" max="2313" width="16.5546875" customWidth="1"/>
    <col min="2314" max="2314" width="13.33203125" customWidth="1"/>
    <col min="2315" max="2315" width="12.33203125" customWidth="1"/>
    <col min="2316" max="2316" width="11.5546875" customWidth="1"/>
    <col min="2317" max="2317" width="17.109375" customWidth="1"/>
    <col min="2318" max="2318" width="11.88671875" customWidth="1"/>
    <col min="2319" max="2319" width="16.33203125" customWidth="1"/>
    <col min="2561" max="2561" width="4.109375" customWidth="1"/>
    <col min="2563" max="2563" width="13" customWidth="1"/>
    <col min="2564" max="2564" width="22" customWidth="1"/>
    <col min="2565" max="2566" width="21.5546875" customWidth="1"/>
    <col min="2567" max="2567" width="20.33203125" bestFit="1" customWidth="1"/>
    <col min="2568" max="2568" width="20.33203125" customWidth="1"/>
    <col min="2569" max="2569" width="16.5546875" customWidth="1"/>
    <col min="2570" max="2570" width="13.33203125" customWidth="1"/>
    <col min="2571" max="2571" width="12.33203125" customWidth="1"/>
    <col min="2572" max="2572" width="11.5546875" customWidth="1"/>
    <col min="2573" max="2573" width="17.109375" customWidth="1"/>
    <col min="2574" max="2574" width="11.88671875" customWidth="1"/>
    <col min="2575" max="2575" width="16.33203125" customWidth="1"/>
    <col min="2817" max="2817" width="4.109375" customWidth="1"/>
    <col min="2819" max="2819" width="13" customWidth="1"/>
    <col min="2820" max="2820" width="22" customWidth="1"/>
    <col min="2821" max="2822" width="21.5546875" customWidth="1"/>
    <col min="2823" max="2823" width="20.33203125" bestFit="1" customWidth="1"/>
    <col min="2824" max="2824" width="20.33203125" customWidth="1"/>
    <col min="2825" max="2825" width="16.5546875" customWidth="1"/>
    <col min="2826" max="2826" width="13.33203125" customWidth="1"/>
    <col min="2827" max="2827" width="12.33203125" customWidth="1"/>
    <col min="2828" max="2828" width="11.5546875" customWidth="1"/>
    <col min="2829" max="2829" width="17.109375" customWidth="1"/>
    <col min="2830" max="2830" width="11.88671875" customWidth="1"/>
    <col min="2831" max="2831" width="16.33203125" customWidth="1"/>
    <col min="3073" max="3073" width="4.109375" customWidth="1"/>
    <col min="3075" max="3075" width="13" customWidth="1"/>
    <col min="3076" max="3076" width="22" customWidth="1"/>
    <col min="3077" max="3078" width="21.5546875" customWidth="1"/>
    <col min="3079" max="3079" width="20.33203125" bestFit="1" customWidth="1"/>
    <col min="3080" max="3080" width="20.33203125" customWidth="1"/>
    <col min="3081" max="3081" width="16.5546875" customWidth="1"/>
    <col min="3082" max="3082" width="13.33203125" customWidth="1"/>
    <col min="3083" max="3083" width="12.33203125" customWidth="1"/>
    <col min="3084" max="3084" width="11.5546875" customWidth="1"/>
    <col min="3085" max="3085" width="17.109375" customWidth="1"/>
    <col min="3086" max="3086" width="11.88671875" customWidth="1"/>
    <col min="3087" max="3087" width="16.33203125" customWidth="1"/>
    <col min="3329" max="3329" width="4.109375" customWidth="1"/>
    <col min="3331" max="3331" width="13" customWidth="1"/>
    <col min="3332" max="3332" width="22" customWidth="1"/>
    <col min="3333" max="3334" width="21.5546875" customWidth="1"/>
    <col min="3335" max="3335" width="20.33203125" bestFit="1" customWidth="1"/>
    <col min="3336" max="3336" width="20.33203125" customWidth="1"/>
    <col min="3337" max="3337" width="16.5546875" customWidth="1"/>
    <col min="3338" max="3338" width="13.33203125" customWidth="1"/>
    <col min="3339" max="3339" width="12.33203125" customWidth="1"/>
    <col min="3340" max="3340" width="11.5546875" customWidth="1"/>
    <col min="3341" max="3341" width="17.109375" customWidth="1"/>
    <col min="3342" max="3342" width="11.88671875" customWidth="1"/>
    <col min="3343" max="3343" width="16.33203125" customWidth="1"/>
    <col min="3585" max="3585" width="4.109375" customWidth="1"/>
    <col min="3587" max="3587" width="13" customWidth="1"/>
    <col min="3588" max="3588" width="22" customWidth="1"/>
    <col min="3589" max="3590" width="21.5546875" customWidth="1"/>
    <col min="3591" max="3591" width="20.33203125" bestFit="1" customWidth="1"/>
    <col min="3592" max="3592" width="20.33203125" customWidth="1"/>
    <col min="3593" max="3593" width="16.5546875" customWidth="1"/>
    <col min="3594" max="3594" width="13.33203125" customWidth="1"/>
    <col min="3595" max="3595" width="12.33203125" customWidth="1"/>
    <col min="3596" max="3596" width="11.5546875" customWidth="1"/>
    <col min="3597" max="3597" width="17.109375" customWidth="1"/>
    <col min="3598" max="3598" width="11.88671875" customWidth="1"/>
    <col min="3599" max="3599" width="16.33203125" customWidth="1"/>
    <col min="3841" max="3841" width="4.109375" customWidth="1"/>
    <col min="3843" max="3843" width="13" customWidth="1"/>
    <col min="3844" max="3844" width="22" customWidth="1"/>
    <col min="3845" max="3846" width="21.5546875" customWidth="1"/>
    <col min="3847" max="3847" width="20.33203125" bestFit="1" customWidth="1"/>
    <col min="3848" max="3848" width="20.33203125" customWidth="1"/>
    <col min="3849" max="3849" width="16.5546875" customWidth="1"/>
    <col min="3850" max="3850" width="13.33203125" customWidth="1"/>
    <col min="3851" max="3851" width="12.33203125" customWidth="1"/>
    <col min="3852" max="3852" width="11.5546875" customWidth="1"/>
    <col min="3853" max="3853" width="17.109375" customWidth="1"/>
    <col min="3854" max="3854" width="11.88671875" customWidth="1"/>
    <col min="3855" max="3855" width="16.33203125" customWidth="1"/>
    <col min="4097" max="4097" width="4.109375" customWidth="1"/>
    <col min="4099" max="4099" width="13" customWidth="1"/>
    <col min="4100" max="4100" width="22" customWidth="1"/>
    <col min="4101" max="4102" width="21.5546875" customWidth="1"/>
    <col min="4103" max="4103" width="20.33203125" bestFit="1" customWidth="1"/>
    <col min="4104" max="4104" width="20.33203125" customWidth="1"/>
    <col min="4105" max="4105" width="16.5546875" customWidth="1"/>
    <col min="4106" max="4106" width="13.33203125" customWidth="1"/>
    <col min="4107" max="4107" width="12.33203125" customWidth="1"/>
    <col min="4108" max="4108" width="11.5546875" customWidth="1"/>
    <col min="4109" max="4109" width="17.109375" customWidth="1"/>
    <col min="4110" max="4110" width="11.88671875" customWidth="1"/>
    <col min="4111" max="4111" width="16.33203125" customWidth="1"/>
    <col min="4353" max="4353" width="4.109375" customWidth="1"/>
    <col min="4355" max="4355" width="13" customWidth="1"/>
    <col min="4356" max="4356" width="22" customWidth="1"/>
    <col min="4357" max="4358" width="21.5546875" customWidth="1"/>
    <col min="4359" max="4359" width="20.33203125" bestFit="1" customWidth="1"/>
    <col min="4360" max="4360" width="20.33203125" customWidth="1"/>
    <col min="4361" max="4361" width="16.5546875" customWidth="1"/>
    <col min="4362" max="4362" width="13.33203125" customWidth="1"/>
    <col min="4363" max="4363" width="12.33203125" customWidth="1"/>
    <col min="4364" max="4364" width="11.5546875" customWidth="1"/>
    <col min="4365" max="4365" width="17.109375" customWidth="1"/>
    <col min="4366" max="4366" width="11.88671875" customWidth="1"/>
    <col min="4367" max="4367" width="16.33203125" customWidth="1"/>
    <col min="4609" max="4609" width="4.109375" customWidth="1"/>
    <col min="4611" max="4611" width="13" customWidth="1"/>
    <col min="4612" max="4612" width="22" customWidth="1"/>
    <col min="4613" max="4614" width="21.5546875" customWidth="1"/>
    <col min="4615" max="4615" width="20.33203125" bestFit="1" customWidth="1"/>
    <col min="4616" max="4616" width="20.33203125" customWidth="1"/>
    <col min="4617" max="4617" width="16.5546875" customWidth="1"/>
    <col min="4618" max="4618" width="13.33203125" customWidth="1"/>
    <col min="4619" max="4619" width="12.33203125" customWidth="1"/>
    <col min="4620" max="4620" width="11.5546875" customWidth="1"/>
    <col min="4621" max="4621" width="17.109375" customWidth="1"/>
    <col min="4622" max="4622" width="11.88671875" customWidth="1"/>
    <col min="4623" max="4623" width="16.33203125" customWidth="1"/>
    <col min="4865" max="4865" width="4.109375" customWidth="1"/>
    <col min="4867" max="4867" width="13" customWidth="1"/>
    <col min="4868" max="4868" width="22" customWidth="1"/>
    <col min="4869" max="4870" width="21.5546875" customWidth="1"/>
    <col min="4871" max="4871" width="20.33203125" bestFit="1" customWidth="1"/>
    <col min="4872" max="4872" width="20.33203125" customWidth="1"/>
    <col min="4873" max="4873" width="16.5546875" customWidth="1"/>
    <col min="4874" max="4874" width="13.33203125" customWidth="1"/>
    <col min="4875" max="4875" width="12.33203125" customWidth="1"/>
    <col min="4876" max="4876" width="11.5546875" customWidth="1"/>
    <col min="4877" max="4877" width="17.109375" customWidth="1"/>
    <col min="4878" max="4878" width="11.88671875" customWidth="1"/>
    <col min="4879" max="4879" width="16.33203125" customWidth="1"/>
    <col min="5121" max="5121" width="4.109375" customWidth="1"/>
    <col min="5123" max="5123" width="13" customWidth="1"/>
    <col min="5124" max="5124" width="22" customWidth="1"/>
    <col min="5125" max="5126" width="21.5546875" customWidth="1"/>
    <col min="5127" max="5127" width="20.33203125" bestFit="1" customWidth="1"/>
    <col min="5128" max="5128" width="20.33203125" customWidth="1"/>
    <col min="5129" max="5129" width="16.5546875" customWidth="1"/>
    <col min="5130" max="5130" width="13.33203125" customWidth="1"/>
    <col min="5131" max="5131" width="12.33203125" customWidth="1"/>
    <col min="5132" max="5132" width="11.5546875" customWidth="1"/>
    <col min="5133" max="5133" width="17.109375" customWidth="1"/>
    <col min="5134" max="5134" width="11.88671875" customWidth="1"/>
    <col min="5135" max="5135" width="16.33203125" customWidth="1"/>
    <col min="5377" max="5377" width="4.109375" customWidth="1"/>
    <col min="5379" max="5379" width="13" customWidth="1"/>
    <col min="5380" max="5380" width="22" customWidth="1"/>
    <col min="5381" max="5382" width="21.5546875" customWidth="1"/>
    <col min="5383" max="5383" width="20.33203125" bestFit="1" customWidth="1"/>
    <col min="5384" max="5384" width="20.33203125" customWidth="1"/>
    <col min="5385" max="5385" width="16.5546875" customWidth="1"/>
    <col min="5386" max="5386" width="13.33203125" customWidth="1"/>
    <col min="5387" max="5387" width="12.33203125" customWidth="1"/>
    <col min="5388" max="5388" width="11.5546875" customWidth="1"/>
    <col min="5389" max="5389" width="17.109375" customWidth="1"/>
    <col min="5390" max="5390" width="11.88671875" customWidth="1"/>
    <col min="5391" max="5391" width="16.33203125" customWidth="1"/>
    <col min="5633" max="5633" width="4.109375" customWidth="1"/>
    <col min="5635" max="5635" width="13" customWidth="1"/>
    <col min="5636" max="5636" width="22" customWidth="1"/>
    <col min="5637" max="5638" width="21.5546875" customWidth="1"/>
    <col min="5639" max="5639" width="20.33203125" bestFit="1" customWidth="1"/>
    <col min="5640" max="5640" width="20.33203125" customWidth="1"/>
    <col min="5641" max="5641" width="16.5546875" customWidth="1"/>
    <col min="5642" max="5642" width="13.33203125" customWidth="1"/>
    <col min="5643" max="5643" width="12.33203125" customWidth="1"/>
    <col min="5644" max="5644" width="11.5546875" customWidth="1"/>
    <col min="5645" max="5645" width="17.109375" customWidth="1"/>
    <col min="5646" max="5646" width="11.88671875" customWidth="1"/>
    <col min="5647" max="5647" width="16.33203125" customWidth="1"/>
    <col min="5889" max="5889" width="4.109375" customWidth="1"/>
    <col min="5891" max="5891" width="13" customWidth="1"/>
    <col min="5892" max="5892" width="22" customWidth="1"/>
    <col min="5893" max="5894" width="21.5546875" customWidth="1"/>
    <col min="5895" max="5895" width="20.33203125" bestFit="1" customWidth="1"/>
    <col min="5896" max="5896" width="20.33203125" customWidth="1"/>
    <col min="5897" max="5897" width="16.5546875" customWidth="1"/>
    <col min="5898" max="5898" width="13.33203125" customWidth="1"/>
    <col min="5899" max="5899" width="12.33203125" customWidth="1"/>
    <col min="5900" max="5900" width="11.5546875" customWidth="1"/>
    <col min="5901" max="5901" width="17.109375" customWidth="1"/>
    <col min="5902" max="5902" width="11.88671875" customWidth="1"/>
    <col min="5903" max="5903" width="16.33203125" customWidth="1"/>
    <col min="6145" max="6145" width="4.109375" customWidth="1"/>
    <col min="6147" max="6147" width="13" customWidth="1"/>
    <col min="6148" max="6148" width="22" customWidth="1"/>
    <col min="6149" max="6150" width="21.5546875" customWidth="1"/>
    <col min="6151" max="6151" width="20.33203125" bestFit="1" customWidth="1"/>
    <col min="6152" max="6152" width="20.33203125" customWidth="1"/>
    <col min="6153" max="6153" width="16.5546875" customWidth="1"/>
    <col min="6154" max="6154" width="13.33203125" customWidth="1"/>
    <col min="6155" max="6155" width="12.33203125" customWidth="1"/>
    <col min="6156" max="6156" width="11.5546875" customWidth="1"/>
    <col min="6157" max="6157" width="17.109375" customWidth="1"/>
    <col min="6158" max="6158" width="11.88671875" customWidth="1"/>
    <col min="6159" max="6159" width="16.33203125" customWidth="1"/>
    <col min="6401" max="6401" width="4.109375" customWidth="1"/>
    <col min="6403" max="6403" width="13" customWidth="1"/>
    <col min="6404" max="6404" width="22" customWidth="1"/>
    <col min="6405" max="6406" width="21.5546875" customWidth="1"/>
    <col min="6407" max="6407" width="20.33203125" bestFit="1" customWidth="1"/>
    <col min="6408" max="6408" width="20.33203125" customWidth="1"/>
    <col min="6409" max="6409" width="16.5546875" customWidth="1"/>
    <col min="6410" max="6410" width="13.33203125" customWidth="1"/>
    <col min="6411" max="6411" width="12.33203125" customWidth="1"/>
    <col min="6412" max="6412" width="11.5546875" customWidth="1"/>
    <col min="6413" max="6413" width="17.109375" customWidth="1"/>
    <col min="6414" max="6414" width="11.88671875" customWidth="1"/>
    <col min="6415" max="6415" width="16.33203125" customWidth="1"/>
    <col min="6657" max="6657" width="4.109375" customWidth="1"/>
    <col min="6659" max="6659" width="13" customWidth="1"/>
    <col min="6660" max="6660" width="22" customWidth="1"/>
    <col min="6661" max="6662" width="21.5546875" customWidth="1"/>
    <col min="6663" max="6663" width="20.33203125" bestFit="1" customWidth="1"/>
    <col min="6664" max="6664" width="20.33203125" customWidth="1"/>
    <col min="6665" max="6665" width="16.5546875" customWidth="1"/>
    <col min="6666" max="6666" width="13.33203125" customWidth="1"/>
    <col min="6667" max="6667" width="12.33203125" customWidth="1"/>
    <col min="6668" max="6668" width="11.5546875" customWidth="1"/>
    <col min="6669" max="6669" width="17.109375" customWidth="1"/>
    <col min="6670" max="6670" width="11.88671875" customWidth="1"/>
    <col min="6671" max="6671" width="16.33203125" customWidth="1"/>
    <col min="6913" max="6913" width="4.109375" customWidth="1"/>
    <col min="6915" max="6915" width="13" customWidth="1"/>
    <col min="6916" max="6916" width="22" customWidth="1"/>
    <col min="6917" max="6918" width="21.5546875" customWidth="1"/>
    <col min="6919" max="6919" width="20.33203125" bestFit="1" customWidth="1"/>
    <col min="6920" max="6920" width="20.33203125" customWidth="1"/>
    <col min="6921" max="6921" width="16.5546875" customWidth="1"/>
    <col min="6922" max="6922" width="13.33203125" customWidth="1"/>
    <col min="6923" max="6923" width="12.33203125" customWidth="1"/>
    <col min="6924" max="6924" width="11.5546875" customWidth="1"/>
    <col min="6925" max="6925" width="17.109375" customWidth="1"/>
    <col min="6926" max="6926" width="11.88671875" customWidth="1"/>
    <col min="6927" max="6927" width="16.33203125" customWidth="1"/>
    <col min="7169" max="7169" width="4.109375" customWidth="1"/>
    <col min="7171" max="7171" width="13" customWidth="1"/>
    <col min="7172" max="7172" width="22" customWidth="1"/>
    <col min="7173" max="7174" width="21.5546875" customWidth="1"/>
    <col min="7175" max="7175" width="20.33203125" bestFit="1" customWidth="1"/>
    <col min="7176" max="7176" width="20.33203125" customWidth="1"/>
    <col min="7177" max="7177" width="16.5546875" customWidth="1"/>
    <col min="7178" max="7178" width="13.33203125" customWidth="1"/>
    <col min="7179" max="7179" width="12.33203125" customWidth="1"/>
    <col min="7180" max="7180" width="11.5546875" customWidth="1"/>
    <col min="7181" max="7181" width="17.109375" customWidth="1"/>
    <col min="7182" max="7182" width="11.88671875" customWidth="1"/>
    <col min="7183" max="7183" width="16.33203125" customWidth="1"/>
    <col min="7425" max="7425" width="4.109375" customWidth="1"/>
    <col min="7427" max="7427" width="13" customWidth="1"/>
    <col min="7428" max="7428" width="22" customWidth="1"/>
    <col min="7429" max="7430" width="21.5546875" customWidth="1"/>
    <col min="7431" max="7431" width="20.33203125" bestFit="1" customWidth="1"/>
    <col min="7432" max="7432" width="20.33203125" customWidth="1"/>
    <col min="7433" max="7433" width="16.5546875" customWidth="1"/>
    <col min="7434" max="7434" width="13.33203125" customWidth="1"/>
    <col min="7435" max="7435" width="12.33203125" customWidth="1"/>
    <col min="7436" max="7436" width="11.5546875" customWidth="1"/>
    <col min="7437" max="7437" width="17.109375" customWidth="1"/>
    <col min="7438" max="7438" width="11.88671875" customWidth="1"/>
    <col min="7439" max="7439" width="16.33203125" customWidth="1"/>
    <col min="7681" max="7681" width="4.109375" customWidth="1"/>
    <col min="7683" max="7683" width="13" customWidth="1"/>
    <col min="7684" max="7684" width="22" customWidth="1"/>
    <col min="7685" max="7686" width="21.5546875" customWidth="1"/>
    <col min="7687" max="7687" width="20.33203125" bestFit="1" customWidth="1"/>
    <col min="7688" max="7688" width="20.33203125" customWidth="1"/>
    <col min="7689" max="7689" width="16.5546875" customWidth="1"/>
    <col min="7690" max="7690" width="13.33203125" customWidth="1"/>
    <col min="7691" max="7691" width="12.33203125" customWidth="1"/>
    <col min="7692" max="7692" width="11.5546875" customWidth="1"/>
    <col min="7693" max="7693" width="17.109375" customWidth="1"/>
    <col min="7694" max="7694" width="11.88671875" customWidth="1"/>
    <col min="7695" max="7695" width="16.33203125" customWidth="1"/>
    <col min="7937" max="7937" width="4.109375" customWidth="1"/>
    <col min="7939" max="7939" width="13" customWidth="1"/>
    <col min="7940" max="7940" width="22" customWidth="1"/>
    <col min="7941" max="7942" width="21.5546875" customWidth="1"/>
    <col min="7943" max="7943" width="20.33203125" bestFit="1" customWidth="1"/>
    <col min="7944" max="7944" width="20.33203125" customWidth="1"/>
    <col min="7945" max="7945" width="16.5546875" customWidth="1"/>
    <col min="7946" max="7946" width="13.33203125" customWidth="1"/>
    <col min="7947" max="7947" width="12.33203125" customWidth="1"/>
    <col min="7948" max="7948" width="11.5546875" customWidth="1"/>
    <col min="7949" max="7949" width="17.109375" customWidth="1"/>
    <col min="7950" max="7950" width="11.88671875" customWidth="1"/>
    <col min="7951" max="7951" width="16.33203125" customWidth="1"/>
    <col min="8193" max="8193" width="4.109375" customWidth="1"/>
    <col min="8195" max="8195" width="13" customWidth="1"/>
    <col min="8196" max="8196" width="22" customWidth="1"/>
    <col min="8197" max="8198" width="21.5546875" customWidth="1"/>
    <col min="8199" max="8199" width="20.33203125" bestFit="1" customWidth="1"/>
    <col min="8200" max="8200" width="20.33203125" customWidth="1"/>
    <col min="8201" max="8201" width="16.5546875" customWidth="1"/>
    <col min="8202" max="8202" width="13.33203125" customWidth="1"/>
    <col min="8203" max="8203" width="12.33203125" customWidth="1"/>
    <col min="8204" max="8204" width="11.5546875" customWidth="1"/>
    <col min="8205" max="8205" width="17.109375" customWidth="1"/>
    <col min="8206" max="8206" width="11.88671875" customWidth="1"/>
    <col min="8207" max="8207" width="16.33203125" customWidth="1"/>
    <col min="8449" max="8449" width="4.109375" customWidth="1"/>
    <col min="8451" max="8451" width="13" customWidth="1"/>
    <col min="8452" max="8452" width="22" customWidth="1"/>
    <col min="8453" max="8454" width="21.5546875" customWidth="1"/>
    <col min="8455" max="8455" width="20.33203125" bestFit="1" customWidth="1"/>
    <col min="8456" max="8456" width="20.33203125" customWidth="1"/>
    <col min="8457" max="8457" width="16.5546875" customWidth="1"/>
    <col min="8458" max="8458" width="13.33203125" customWidth="1"/>
    <col min="8459" max="8459" width="12.33203125" customWidth="1"/>
    <col min="8460" max="8460" width="11.5546875" customWidth="1"/>
    <col min="8461" max="8461" width="17.109375" customWidth="1"/>
    <col min="8462" max="8462" width="11.88671875" customWidth="1"/>
    <col min="8463" max="8463" width="16.33203125" customWidth="1"/>
    <col min="8705" max="8705" width="4.109375" customWidth="1"/>
    <col min="8707" max="8707" width="13" customWidth="1"/>
    <col min="8708" max="8708" width="22" customWidth="1"/>
    <col min="8709" max="8710" width="21.5546875" customWidth="1"/>
    <col min="8711" max="8711" width="20.33203125" bestFit="1" customWidth="1"/>
    <col min="8712" max="8712" width="20.33203125" customWidth="1"/>
    <col min="8713" max="8713" width="16.5546875" customWidth="1"/>
    <col min="8714" max="8714" width="13.33203125" customWidth="1"/>
    <col min="8715" max="8715" width="12.33203125" customWidth="1"/>
    <col min="8716" max="8716" width="11.5546875" customWidth="1"/>
    <col min="8717" max="8717" width="17.109375" customWidth="1"/>
    <col min="8718" max="8718" width="11.88671875" customWidth="1"/>
    <col min="8719" max="8719" width="16.33203125" customWidth="1"/>
    <col min="8961" max="8961" width="4.109375" customWidth="1"/>
    <col min="8963" max="8963" width="13" customWidth="1"/>
    <col min="8964" max="8964" width="22" customWidth="1"/>
    <col min="8965" max="8966" width="21.5546875" customWidth="1"/>
    <col min="8967" max="8967" width="20.33203125" bestFit="1" customWidth="1"/>
    <col min="8968" max="8968" width="20.33203125" customWidth="1"/>
    <col min="8969" max="8969" width="16.5546875" customWidth="1"/>
    <col min="8970" max="8970" width="13.33203125" customWidth="1"/>
    <col min="8971" max="8971" width="12.33203125" customWidth="1"/>
    <col min="8972" max="8972" width="11.5546875" customWidth="1"/>
    <col min="8973" max="8973" width="17.109375" customWidth="1"/>
    <col min="8974" max="8974" width="11.88671875" customWidth="1"/>
    <col min="8975" max="8975" width="16.33203125" customWidth="1"/>
    <col min="9217" max="9217" width="4.109375" customWidth="1"/>
    <col min="9219" max="9219" width="13" customWidth="1"/>
    <col min="9220" max="9220" width="22" customWidth="1"/>
    <col min="9221" max="9222" width="21.5546875" customWidth="1"/>
    <col min="9223" max="9223" width="20.33203125" bestFit="1" customWidth="1"/>
    <col min="9224" max="9224" width="20.33203125" customWidth="1"/>
    <col min="9225" max="9225" width="16.5546875" customWidth="1"/>
    <col min="9226" max="9226" width="13.33203125" customWidth="1"/>
    <col min="9227" max="9227" width="12.33203125" customWidth="1"/>
    <col min="9228" max="9228" width="11.5546875" customWidth="1"/>
    <col min="9229" max="9229" width="17.109375" customWidth="1"/>
    <col min="9230" max="9230" width="11.88671875" customWidth="1"/>
    <col min="9231" max="9231" width="16.33203125" customWidth="1"/>
    <col min="9473" max="9473" width="4.109375" customWidth="1"/>
    <col min="9475" max="9475" width="13" customWidth="1"/>
    <col min="9476" max="9476" width="22" customWidth="1"/>
    <col min="9477" max="9478" width="21.5546875" customWidth="1"/>
    <col min="9479" max="9479" width="20.33203125" bestFit="1" customWidth="1"/>
    <col min="9480" max="9480" width="20.33203125" customWidth="1"/>
    <col min="9481" max="9481" width="16.5546875" customWidth="1"/>
    <col min="9482" max="9482" width="13.33203125" customWidth="1"/>
    <col min="9483" max="9483" width="12.33203125" customWidth="1"/>
    <col min="9484" max="9484" width="11.5546875" customWidth="1"/>
    <col min="9485" max="9485" width="17.109375" customWidth="1"/>
    <col min="9486" max="9486" width="11.88671875" customWidth="1"/>
    <col min="9487" max="9487" width="16.33203125" customWidth="1"/>
    <col min="9729" max="9729" width="4.109375" customWidth="1"/>
    <col min="9731" max="9731" width="13" customWidth="1"/>
    <col min="9732" max="9732" width="22" customWidth="1"/>
    <col min="9733" max="9734" width="21.5546875" customWidth="1"/>
    <col min="9735" max="9735" width="20.33203125" bestFit="1" customWidth="1"/>
    <col min="9736" max="9736" width="20.33203125" customWidth="1"/>
    <col min="9737" max="9737" width="16.5546875" customWidth="1"/>
    <col min="9738" max="9738" width="13.33203125" customWidth="1"/>
    <col min="9739" max="9739" width="12.33203125" customWidth="1"/>
    <col min="9740" max="9740" width="11.5546875" customWidth="1"/>
    <col min="9741" max="9741" width="17.109375" customWidth="1"/>
    <col min="9742" max="9742" width="11.88671875" customWidth="1"/>
    <col min="9743" max="9743" width="16.33203125" customWidth="1"/>
    <col min="9985" max="9985" width="4.109375" customWidth="1"/>
    <col min="9987" max="9987" width="13" customWidth="1"/>
    <col min="9988" max="9988" width="22" customWidth="1"/>
    <col min="9989" max="9990" width="21.5546875" customWidth="1"/>
    <col min="9991" max="9991" width="20.33203125" bestFit="1" customWidth="1"/>
    <col min="9992" max="9992" width="20.33203125" customWidth="1"/>
    <col min="9993" max="9993" width="16.5546875" customWidth="1"/>
    <col min="9994" max="9994" width="13.33203125" customWidth="1"/>
    <col min="9995" max="9995" width="12.33203125" customWidth="1"/>
    <col min="9996" max="9996" width="11.5546875" customWidth="1"/>
    <col min="9997" max="9997" width="17.109375" customWidth="1"/>
    <col min="9998" max="9998" width="11.88671875" customWidth="1"/>
    <col min="9999" max="9999" width="16.33203125" customWidth="1"/>
    <col min="10241" max="10241" width="4.109375" customWidth="1"/>
    <col min="10243" max="10243" width="13" customWidth="1"/>
    <col min="10244" max="10244" width="22" customWidth="1"/>
    <col min="10245" max="10246" width="21.5546875" customWidth="1"/>
    <col min="10247" max="10247" width="20.33203125" bestFit="1" customWidth="1"/>
    <col min="10248" max="10248" width="20.33203125" customWidth="1"/>
    <col min="10249" max="10249" width="16.5546875" customWidth="1"/>
    <col min="10250" max="10250" width="13.33203125" customWidth="1"/>
    <col min="10251" max="10251" width="12.33203125" customWidth="1"/>
    <col min="10252" max="10252" width="11.5546875" customWidth="1"/>
    <col min="10253" max="10253" width="17.109375" customWidth="1"/>
    <col min="10254" max="10254" width="11.88671875" customWidth="1"/>
    <col min="10255" max="10255" width="16.33203125" customWidth="1"/>
    <col min="10497" max="10497" width="4.109375" customWidth="1"/>
    <col min="10499" max="10499" width="13" customWidth="1"/>
    <col min="10500" max="10500" width="22" customWidth="1"/>
    <col min="10501" max="10502" width="21.5546875" customWidth="1"/>
    <col min="10503" max="10503" width="20.33203125" bestFit="1" customWidth="1"/>
    <col min="10504" max="10504" width="20.33203125" customWidth="1"/>
    <col min="10505" max="10505" width="16.5546875" customWidth="1"/>
    <col min="10506" max="10506" width="13.33203125" customWidth="1"/>
    <col min="10507" max="10507" width="12.33203125" customWidth="1"/>
    <col min="10508" max="10508" width="11.5546875" customWidth="1"/>
    <col min="10509" max="10509" width="17.109375" customWidth="1"/>
    <col min="10510" max="10510" width="11.88671875" customWidth="1"/>
    <col min="10511" max="10511" width="16.33203125" customWidth="1"/>
    <col min="10753" max="10753" width="4.109375" customWidth="1"/>
    <col min="10755" max="10755" width="13" customWidth="1"/>
    <col min="10756" max="10756" width="22" customWidth="1"/>
    <col min="10757" max="10758" width="21.5546875" customWidth="1"/>
    <col min="10759" max="10759" width="20.33203125" bestFit="1" customWidth="1"/>
    <col min="10760" max="10760" width="20.33203125" customWidth="1"/>
    <col min="10761" max="10761" width="16.5546875" customWidth="1"/>
    <col min="10762" max="10762" width="13.33203125" customWidth="1"/>
    <col min="10763" max="10763" width="12.33203125" customWidth="1"/>
    <col min="10764" max="10764" width="11.5546875" customWidth="1"/>
    <col min="10765" max="10765" width="17.109375" customWidth="1"/>
    <col min="10766" max="10766" width="11.88671875" customWidth="1"/>
    <col min="10767" max="10767" width="16.33203125" customWidth="1"/>
    <col min="11009" max="11009" width="4.109375" customWidth="1"/>
    <col min="11011" max="11011" width="13" customWidth="1"/>
    <col min="11012" max="11012" width="22" customWidth="1"/>
    <col min="11013" max="11014" width="21.5546875" customWidth="1"/>
    <col min="11015" max="11015" width="20.33203125" bestFit="1" customWidth="1"/>
    <col min="11016" max="11016" width="20.33203125" customWidth="1"/>
    <col min="11017" max="11017" width="16.5546875" customWidth="1"/>
    <col min="11018" max="11018" width="13.33203125" customWidth="1"/>
    <col min="11019" max="11019" width="12.33203125" customWidth="1"/>
    <col min="11020" max="11020" width="11.5546875" customWidth="1"/>
    <col min="11021" max="11021" width="17.109375" customWidth="1"/>
    <col min="11022" max="11022" width="11.88671875" customWidth="1"/>
    <col min="11023" max="11023" width="16.33203125" customWidth="1"/>
    <col min="11265" max="11265" width="4.109375" customWidth="1"/>
    <col min="11267" max="11267" width="13" customWidth="1"/>
    <col min="11268" max="11268" width="22" customWidth="1"/>
    <col min="11269" max="11270" width="21.5546875" customWidth="1"/>
    <col min="11271" max="11271" width="20.33203125" bestFit="1" customWidth="1"/>
    <col min="11272" max="11272" width="20.33203125" customWidth="1"/>
    <col min="11273" max="11273" width="16.5546875" customWidth="1"/>
    <col min="11274" max="11274" width="13.33203125" customWidth="1"/>
    <col min="11275" max="11275" width="12.33203125" customWidth="1"/>
    <col min="11276" max="11276" width="11.5546875" customWidth="1"/>
    <col min="11277" max="11277" width="17.109375" customWidth="1"/>
    <col min="11278" max="11278" width="11.88671875" customWidth="1"/>
    <col min="11279" max="11279" width="16.33203125" customWidth="1"/>
    <col min="11521" max="11521" width="4.109375" customWidth="1"/>
    <col min="11523" max="11523" width="13" customWidth="1"/>
    <col min="11524" max="11524" width="22" customWidth="1"/>
    <col min="11525" max="11526" width="21.5546875" customWidth="1"/>
    <col min="11527" max="11527" width="20.33203125" bestFit="1" customWidth="1"/>
    <col min="11528" max="11528" width="20.33203125" customWidth="1"/>
    <col min="11529" max="11529" width="16.5546875" customWidth="1"/>
    <col min="11530" max="11530" width="13.33203125" customWidth="1"/>
    <col min="11531" max="11531" width="12.33203125" customWidth="1"/>
    <col min="11532" max="11532" width="11.5546875" customWidth="1"/>
    <col min="11533" max="11533" width="17.109375" customWidth="1"/>
    <col min="11534" max="11534" width="11.88671875" customWidth="1"/>
    <col min="11535" max="11535" width="16.33203125" customWidth="1"/>
    <col min="11777" max="11777" width="4.109375" customWidth="1"/>
    <col min="11779" max="11779" width="13" customWidth="1"/>
    <col min="11780" max="11780" width="22" customWidth="1"/>
    <col min="11781" max="11782" width="21.5546875" customWidth="1"/>
    <col min="11783" max="11783" width="20.33203125" bestFit="1" customWidth="1"/>
    <col min="11784" max="11784" width="20.33203125" customWidth="1"/>
    <col min="11785" max="11785" width="16.5546875" customWidth="1"/>
    <col min="11786" max="11786" width="13.33203125" customWidth="1"/>
    <col min="11787" max="11787" width="12.33203125" customWidth="1"/>
    <col min="11788" max="11788" width="11.5546875" customWidth="1"/>
    <col min="11789" max="11789" width="17.109375" customWidth="1"/>
    <col min="11790" max="11790" width="11.88671875" customWidth="1"/>
    <col min="11791" max="11791" width="16.33203125" customWidth="1"/>
    <col min="12033" max="12033" width="4.109375" customWidth="1"/>
    <col min="12035" max="12035" width="13" customWidth="1"/>
    <col min="12036" max="12036" width="22" customWidth="1"/>
    <col min="12037" max="12038" width="21.5546875" customWidth="1"/>
    <col min="12039" max="12039" width="20.33203125" bestFit="1" customWidth="1"/>
    <col min="12040" max="12040" width="20.33203125" customWidth="1"/>
    <col min="12041" max="12041" width="16.5546875" customWidth="1"/>
    <col min="12042" max="12042" width="13.33203125" customWidth="1"/>
    <col min="12043" max="12043" width="12.33203125" customWidth="1"/>
    <col min="12044" max="12044" width="11.5546875" customWidth="1"/>
    <col min="12045" max="12045" width="17.109375" customWidth="1"/>
    <col min="12046" max="12046" width="11.88671875" customWidth="1"/>
    <col min="12047" max="12047" width="16.33203125" customWidth="1"/>
    <col min="12289" max="12289" width="4.109375" customWidth="1"/>
    <col min="12291" max="12291" width="13" customWidth="1"/>
    <col min="12292" max="12292" width="22" customWidth="1"/>
    <col min="12293" max="12294" width="21.5546875" customWidth="1"/>
    <col min="12295" max="12295" width="20.33203125" bestFit="1" customWidth="1"/>
    <col min="12296" max="12296" width="20.33203125" customWidth="1"/>
    <col min="12297" max="12297" width="16.5546875" customWidth="1"/>
    <col min="12298" max="12298" width="13.33203125" customWidth="1"/>
    <col min="12299" max="12299" width="12.33203125" customWidth="1"/>
    <col min="12300" max="12300" width="11.5546875" customWidth="1"/>
    <col min="12301" max="12301" width="17.109375" customWidth="1"/>
    <col min="12302" max="12302" width="11.88671875" customWidth="1"/>
    <col min="12303" max="12303" width="16.33203125" customWidth="1"/>
    <col min="12545" max="12545" width="4.109375" customWidth="1"/>
    <col min="12547" max="12547" width="13" customWidth="1"/>
    <col min="12548" max="12548" width="22" customWidth="1"/>
    <col min="12549" max="12550" width="21.5546875" customWidth="1"/>
    <col min="12551" max="12551" width="20.33203125" bestFit="1" customWidth="1"/>
    <col min="12552" max="12552" width="20.33203125" customWidth="1"/>
    <col min="12553" max="12553" width="16.5546875" customWidth="1"/>
    <col min="12554" max="12554" width="13.33203125" customWidth="1"/>
    <col min="12555" max="12555" width="12.33203125" customWidth="1"/>
    <col min="12556" max="12556" width="11.5546875" customWidth="1"/>
    <col min="12557" max="12557" width="17.109375" customWidth="1"/>
    <col min="12558" max="12558" width="11.88671875" customWidth="1"/>
    <col min="12559" max="12559" width="16.33203125" customWidth="1"/>
    <col min="12801" max="12801" width="4.109375" customWidth="1"/>
    <col min="12803" max="12803" width="13" customWidth="1"/>
    <col min="12804" max="12804" width="22" customWidth="1"/>
    <col min="12805" max="12806" width="21.5546875" customWidth="1"/>
    <col min="12807" max="12807" width="20.33203125" bestFit="1" customWidth="1"/>
    <col min="12808" max="12808" width="20.33203125" customWidth="1"/>
    <col min="12809" max="12809" width="16.5546875" customWidth="1"/>
    <col min="12810" max="12810" width="13.33203125" customWidth="1"/>
    <col min="12811" max="12811" width="12.33203125" customWidth="1"/>
    <col min="12812" max="12812" width="11.5546875" customWidth="1"/>
    <col min="12813" max="12813" width="17.109375" customWidth="1"/>
    <col min="12814" max="12814" width="11.88671875" customWidth="1"/>
    <col min="12815" max="12815" width="16.33203125" customWidth="1"/>
    <col min="13057" max="13057" width="4.109375" customWidth="1"/>
    <col min="13059" max="13059" width="13" customWidth="1"/>
    <col min="13060" max="13060" width="22" customWidth="1"/>
    <col min="13061" max="13062" width="21.5546875" customWidth="1"/>
    <col min="13063" max="13063" width="20.33203125" bestFit="1" customWidth="1"/>
    <col min="13064" max="13064" width="20.33203125" customWidth="1"/>
    <col min="13065" max="13065" width="16.5546875" customWidth="1"/>
    <col min="13066" max="13066" width="13.33203125" customWidth="1"/>
    <col min="13067" max="13067" width="12.33203125" customWidth="1"/>
    <col min="13068" max="13068" width="11.5546875" customWidth="1"/>
    <col min="13069" max="13069" width="17.109375" customWidth="1"/>
    <col min="13070" max="13070" width="11.88671875" customWidth="1"/>
    <col min="13071" max="13071" width="16.33203125" customWidth="1"/>
    <col min="13313" max="13313" width="4.109375" customWidth="1"/>
    <col min="13315" max="13315" width="13" customWidth="1"/>
    <col min="13316" max="13316" width="22" customWidth="1"/>
    <col min="13317" max="13318" width="21.5546875" customWidth="1"/>
    <col min="13319" max="13319" width="20.33203125" bestFit="1" customWidth="1"/>
    <col min="13320" max="13320" width="20.33203125" customWidth="1"/>
    <col min="13321" max="13321" width="16.5546875" customWidth="1"/>
    <col min="13322" max="13322" width="13.33203125" customWidth="1"/>
    <col min="13323" max="13323" width="12.33203125" customWidth="1"/>
    <col min="13324" max="13324" width="11.5546875" customWidth="1"/>
    <col min="13325" max="13325" width="17.109375" customWidth="1"/>
    <col min="13326" max="13326" width="11.88671875" customWidth="1"/>
    <col min="13327" max="13327" width="16.33203125" customWidth="1"/>
    <col min="13569" max="13569" width="4.109375" customWidth="1"/>
    <col min="13571" max="13571" width="13" customWidth="1"/>
    <col min="13572" max="13572" width="22" customWidth="1"/>
    <col min="13573" max="13574" width="21.5546875" customWidth="1"/>
    <col min="13575" max="13575" width="20.33203125" bestFit="1" customWidth="1"/>
    <col min="13576" max="13576" width="20.33203125" customWidth="1"/>
    <col min="13577" max="13577" width="16.5546875" customWidth="1"/>
    <col min="13578" max="13578" width="13.33203125" customWidth="1"/>
    <col min="13579" max="13579" width="12.33203125" customWidth="1"/>
    <col min="13580" max="13580" width="11.5546875" customWidth="1"/>
    <col min="13581" max="13581" width="17.109375" customWidth="1"/>
    <col min="13582" max="13582" width="11.88671875" customWidth="1"/>
    <col min="13583" max="13583" width="16.33203125" customWidth="1"/>
    <col min="13825" max="13825" width="4.109375" customWidth="1"/>
    <col min="13827" max="13827" width="13" customWidth="1"/>
    <col min="13828" max="13828" width="22" customWidth="1"/>
    <col min="13829" max="13830" width="21.5546875" customWidth="1"/>
    <col min="13831" max="13831" width="20.33203125" bestFit="1" customWidth="1"/>
    <col min="13832" max="13832" width="20.33203125" customWidth="1"/>
    <col min="13833" max="13833" width="16.5546875" customWidth="1"/>
    <col min="13834" max="13834" width="13.33203125" customWidth="1"/>
    <col min="13835" max="13835" width="12.33203125" customWidth="1"/>
    <col min="13836" max="13836" width="11.5546875" customWidth="1"/>
    <col min="13837" max="13837" width="17.109375" customWidth="1"/>
    <col min="13838" max="13838" width="11.88671875" customWidth="1"/>
    <col min="13839" max="13839" width="16.33203125" customWidth="1"/>
    <col min="14081" max="14081" width="4.109375" customWidth="1"/>
    <col min="14083" max="14083" width="13" customWidth="1"/>
    <col min="14084" max="14084" width="22" customWidth="1"/>
    <col min="14085" max="14086" width="21.5546875" customWidth="1"/>
    <col min="14087" max="14087" width="20.33203125" bestFit="1" customWidth="1"/>
    <col min="14088" max="14088" width="20.33203125" customWidth="1"/>
    <col min="14089" max="14089" width="16.5546875" customWidth="1"/>
    <col min="14090" max="14090" width="13.33203125" customWidth="1"/>
    <col min="14091" max="14091" width="12.33203125" customWidth="1"/>
    <col min="14092" max="14092" width="11.5546875" customWidth="1"/>
    <col min="14093" max="14093" width="17.109375" customWidth="1"/>
    <col min="14094" max="14094" width="11.88671875" customWidth="1"/>
    <col min="14095" max="14095" width="16.33203125" customWidth="1"/>
    <col min="14337" max="14337" width="4.109375" customWidth="1"/>
    <col min="14339" max="14339" width="13" customWidth="1"/>
    <col min="14340" max="14340" width="22" customWidth="1"/>
    <col min="14341" max="14342" width="21.5546875" customWidth="1"/>
    <col min="14343" max="14343" width="20.33203125" bestFit="1" customWidth="1"/>
    <col min="14344" max="14344" width="20.33203125" customWidth="1"/>
    <col min="14345" max="14345" width="16.5546875" customWidth="1"/>
    <col min="14346" max="14346" width="13.33203125" customWidth="1"/>
    <col min="14347" max="14347" width="12.33203125" customWidth="1"/>
    <col min="14348" max="14348" width="11.5546875" customWidth="1"/>
    <col min="14349" max="14349" width="17.109375" customWidth="1"/>
    <col min="14350" max="14350" width="11.88671875" customWidth="1"/>
    <col min="14351" max="14351" width="16.33203125" customWidth="1"/>
    <col min="14593" max="14593" width="4.109375" customWidth="1"/>
    <col min="14595" max="14595" width="13" customWidth="1"/>
    <col min="14596" max="14596" width="22" customWidth="1"/>
    <col min="14597" max="14598" width="21.5546875" customWidth="1"/>
    <col min="14599" max="14599" width="20.33203125" bestFit="1" customWidth="1"/>
    <col min="14600" max="14600" width="20.33203125" customWidth="1"/>
    <col min="14601" max="14601" width="16.5546875" customWidth="1"/>
    <col min="14602" max="14602" width="13.33203125" customWidth="1"/>
    <col min="14603" max="14603" width="12.33203125" customWidth="1"/>
    <col min="14604" max="14604" width="11.5546875" customWidth="1"/>
    <col min="14605" max="14605" width="17.109375" customWidth="1"/>
    <col min="14606" max="14606" width="11.88671875" customWidth="1"/>
    <col min="14607" max="14607" width="16.33203125" customWidth="1"/>
    <col min="14849" max="14849" width="4.109375" customWidth="1"/>
    <col min="14851" max="14851" width="13" customWidth="1"/>
    <col min="14852" max="14852" width="22" customWidth="1"/>
    <col min="14853" max="14854" width="21.5546875" customWidth="1"/>
    <col min="14855" max="14855" width="20.33203125" bestFit="1" customWidth="1"/>
    <col min="14856" max="14856" width="20.33203125" customWidth="1"/>
    <col min="14857" max="14857" width="16.5546875" customWidth="1"/>
    <col min="14858" max="14858" width="13.33203125" customWidth="1"/>
    <col min="14859" max="14859" width="12.33203125" customWidth="1"/>
    <col min="14860" max="14860" width="11.5546875" customWidth="1"/>
    <col min="14861" max="14861" width="17.109375" customWidth="1"/>
    <col min="14862" max="14862" width="11.88671875" customWidth="1"/>
    <col min="14863" max="14863" width="16.33203125" customWidth="1"/>
    <col min="15105" max="15105" width="4.109375" customWidth="1"/>
    <col min="15107" max="15107" width="13" customWidth="1"/>
    <col min="15108" max="15108" width="22" customWidth="1"/>
    <col min="15109" max="15110" width="21.5546875" customWidth="1"/>
    <col min="15111" max="15111" width="20.33203125" bestFit="1" customWidth="1"/>
    <col min="15112" max="15112" width="20.33203125" customWidth="1"/>
    <col min="15113" max="15113" width="16.5546875" customWidth="1"/>
    <col min="15114" max="15114" width="13.33203125" customWidth="1"/>
    <col min="15115" max="15115" width="12.33203125" customWidth="1"/>
    <col min="15116" max="15116" width="11.5546875" customWidth="1"/>
    <col min="15117" max="15117" width="17.109375" customWidth="1"/>
    <col min="15118" max="15118" width="11.88671875" customWidth="1"/>
    <col min="15119" max="15119" width="16.33203125" customWidth="1"/>
    <col min="15361" max="15361" width="4.109375" customWidth="1"/>
    <col min="15363" max="15363" width="13" customWidth="1"/>
    <col min="15364" max="15364" width="22" customWidth="1"/>
    <col min="15365" max="15366" width="21.5546875" customWidth="1"/>
    <col min="15367" max="15367" width="20.33203125" bestFit="1" customWidth="1"/>
    <col min="15368" max="15368" width="20.33203125" customWidth="1"/>
    <col min="15369" max="15369" width="16.5546875" customWidth="1"/>
    <col min="15370" max="15370" width="13.33203125" customWidth="1"/>
    <col min="15371" max="15371" width="12.33203125" customWidth="1"/>
    <col min="15372" max="15372" width="11.5546875" customWidth="1"/>
    <col min="15373" max="15373" width="17.109375" customWidth="1"/>
    <col min="15374" max="15374" width="11.88671875" customWidth="1"/>
    <col min="15375" max="15375" width="16.33203125" customWidth="1"/>
    <col min="15617" max="15617" width="4.109375" customWidth="1"/>
    <col min="15619" max="15619" width="13" customWidth="1"/>
    <col min="15620" max="15620" width="22" customWidth="1"/>
    <col min="15621" max="15622" width="21.5546875" customWidth="1"/>
    <col min="15623" max="15623" width="20.33203125" bestFit="1" customWidth="1"/>
    <col min="15624" max="15624" width="20.33203125" customWidth="1"/>
    <col min="15625" max="15625" width="16.5546875" customWidth="1"/>
    <col min="15626" max="15626" width="13.33203125" customWidth="1"/>
    <col min="15627" max="15627" width="12.33203125" customWidth="1"/>
    <col min="15628" max="15628" width="11.5546875" customWidth="1"/>
    <col min="15629" max="15629" width="17.109375" customWidth="1"/>
    <col min="15630" max="15630" width="11.88671875" customWidth="1"/>
    <col min="15631" max="15631" width="16.33203125" customWidth="1"/>
    <col min="15873" max="15873" width="4.109375" customWidth="1"/>
    <col min="15875" max="15875" width="13" customWidth="1"/>
    <col min="15876" max="15876" width="22" customWidth="1"/>
    <col min="15877" max="15878" width="21.5546875" customWidth="1"/>
    <col min="15879" max="15879" width="20.33203125" bestFit="1" customWidth="1"/>
    <col min="15880" max="15880" width="20.33203125" customWidth="1"/>
    <col min="15881" max="15881" width="16.5546875" customWidth="1"/>
    <col min="15882" max="15882" width="13.33203125" customWidth="1"/>
    <col min="15883" max="15883" width="12.33203125" customWidth="1"/>
    <col min="15884" max="15884" width="11.5546875" customWidth="1"/>
    <col min="15885" max="15885" width="17.109375" customWidth="1"/>
    <col min="15886" max="15886" width="11.88671875" customWidth="1"/>
    <col min="15887" max="15887" width="16.33203125" customWidth="1"/>
    <col min="16129" max="16129" width="4.109375" customWidth="1"/>
    <col min="16131" max="16131" width="13" customWidth="1"/>
    <col min="16132" max="16132" width="22" customWidth="1"/>
    <col min="16133" max="16134" width="21.5546875" customWidth="1"/>
    <col min="16135" max="16135" width="20.33203125" bestFit="1" customWidth="1"/>
    <col min="16136" max="16136" width="20.33203125" customWidth="1"/>
    <col min="16137" max="16137" width="16.5546875" customWidth="1"/>
    <col min="16138" max="16138" width="13.33203125" customWidth="1"/>
    <col min="16139" max="16139" width="12.33203125" customWidth="1"/>
    <col min="16140" max="16140" width="11.5546875" customWidth="1"/>
    <col min="16141" max="16141" width="17.109375" customWidth="1"/>
    <col min="16142" max="16142" width="11.88671875" customWidth="1"/>
    <col min="16143" max="16143" width="16.33203125" customWidth="1"/>
  </cols>
  <sheetData>
    <row r="3" spans="2:15" ht="13.8" thickBot="1" x14ac:dyDescent="0.3"/>
    <row r="4" spans="2:15" s="69" customFormat="1" ht="13.8" x14ac:dyDescent="0.25">
      <c r="B4" s="106" t="s">
        <v>28</v>
      </c>
      <c r="C4" s="107"/>
      <c r="D4" s="108"/>
      <c r="E4" s="108"/>
      <c r="F4" s="108"/>
      <c r="G4" s="108"/>
      <c r="H4" s="108"/>
      <c r="I4" s="108"/>
      <c r="J4" s="108"/>
      <c r="K4" s="108"/>
      <c r="L4" s="108"/>
      <c r="M4" s="108"/>
      <c r="N4" s="108"/>
      <c r="O4" s="109"/>
    </row>
    <row r="5" spans="2:15" s="69" customFormat="1" ht="27.6" x14ac:dyDescent="0.25">
      <c r="B5" s="70" t="s">
        <v>29</v>
      </c>
      <c r="C5" s="71" t="s">
        <v>30</v>
      </c>
      <c r="D5" s="72" t="s">
        <v>31</v>
      </c>
      <c r="E5" s="72" t="s">
        <v>32</v>
      </c>
      <c r="F5" s="72" t="s">
        <v>33</v>
      </c>
      <c r="G5" s="72" t="s">
        <v>34</v>
      </c>
      <c r="H5" s="72" t="s">
        <v>2</v>
      </c>
      <c r="I5" s="72" t="s">
        <v>13</v>
      </c>
      <c r="J5" s="72" t="s">
        <v>35</v>
      </c>
      <c r="K5" s="72" t="s">
        <v>36</v>
      </c>
      <c r="L5" s="72" t="s">
        <v>37</v>
      </c>
      <c r="M5" s="72" t="s">
        <v>38</v>
      </c>
      <c r="N5" s="72" t="s">
        <v>39</v>
      </c>
      <c r="O5" s="73" t="s">
        <v>40</v>
      </c>
    </row>
    <row r="6" spans="2:15" x14ac:dyDescent="0.25">
      <c r="B6" s="74"/>
      <c r="C6" s="75"/>
      <c r="D6" s="74"/>
      <c r="E6" s="74"/>
      <c r="F6" s="74"/>
      <c r="G6" s="74"/>
      <c r="H6" s="74"/>
      <c r="I6" s="74"/>
      <c r="J6" s="74"/>
      <c r="K6" s="74"/>
      <c r="L6" s="74"/>
      <c r="M6" s="74"/>
      <c r="N6" s="74"/>
      <c r="O6" s="74"/>
    </row>
    <row r="7" spans="2:15" x14ac:dyDescent="0.25">
      <c r="B7" s="74"/>
      <c r="C7" s="75"/>
      <c r="D7" s="74"/>
      <c r="E7" s="74"/>
      <c r="F7" s="74"/>
      <c r="G7" s="74"/>
      <c r="H7" s="74"/>
      <c r="I7" s="74"/>
      <c r="J7" s="74"/>
      <c r="K7" s="74"/>
      <c r="L7" s="74"/>
      <c r="M7" s="74"/>
      <c r="N7" s="74"/>
      <c r="O7" s="74"/>
    </row>
    <row r="8" spans="2:15" x14ac:dyDescent="0.25">
      <c r="B8" s="74"/>
      <c r="C8" s="75"/>
      <c r="D8" s="74"/>
      <c r="E8" s="74"/>
      <c r="F8" s="74"/>
      <c r="G8" s="74"/>
      <c r="H8" s="74"/>
      <c r="I8" s="74"/>
      <c r="J8" s="74"/>
      <c r="K8" s="74"/>
      <c r="L8" s="74"/>
      <c r="M8" s="74"/>
      <c r="N8" s="74"/>
      <c r="O8" s="74"/>
    </row>
    <row r="9" spans="2:15" x14ac:dyDescent="0.25">
      <c r="B9" s="74"/>
      <c r="C9" s="75"/>
      <c r="D9" s="74"/>
      <c r="E9" s="74"/>
      <c r="F9" s="74"/>
      <c r="G9" s="74"/>
      <c r="H9" s="74"/>
      <c r="I9" s="74"/>
      <c r="J9" s="74"/>
      <c r="K9" s="74"/>
      <c r="L9" s="74"/>
      <c r="M9" s="74"/>
      <c r="N9" s="74"/>
      <c r="O9" s="74"/>
    </row>
    <row r="10" spans="2:15" x14ac:dyDescent="0.25">
      <c r="B10" s="74"/>
      <c r="C10" s="75"/>
      <c r="D10" s="74"/>
      <c r="E10" s="74"/>
      <c r="F10" s="74"/>
      <c r="G10" s="74"/>
      <c r="H10" s="74"/>
      <c r="I10" s="74"/>
      <c r="J10" s="74"/>
      <c r="K10" s="74"/>
      <c r="L10" s="74"/>
      <c r="M10" s="74"/>
      <c r="N10" s="74"/>
      <c r="O10" s="74"/>
    </row>
    <row r="11" spans="2:15" x14ac:dyDescent="0.25">
      <c r="B11" s="74"/>
      <c r="C11" s="75"/>
      <c r="D11" s="74"/>
      <c r="E11" s="74"/>
      <c r="F11" s="74"/>
      <c r="G11" s="74"/>
      <c r="H11" s="74"/>
      <c r="I11" s="74"/>
      <c r="J11" s="74"/>
      <c r="K11" s="74"/>
      <c r="L11" s="74"/>
      <c r="M11" s="74"/>
      <c r="N11" s="74"/>
      <c r="O11" s="74"/>
    </row>
    <row r="12" spans="2:15" x14ac:dyDescent="0.25">
      <c r="B12" s="74"/>
      <c r="C12" s="75"/>
      <c r="D12" s="74"/>
      <c r="E12" s="74"/>
      <c r="F12" s="74"/>
      <c r="G12" s="74"/>
      <c r="H12" s="74"/>
      <c r="I12" s="74"/>
      <c r="J12" s="74"/>
      <c r="K12" s="74"/>
      <c r="L12" s="74"/>
      <c r="M12" s="74"/>
      <c r="N12" s="74"/>
      <c r="O12" s="74"/>
    </row>
    <row r="13" spans="2:15" x14ac:dyDescent="0.25">
      <c r="B13" s="74"/>
      <c r="C13" s="75"/>
      <c r="D13" s="74"/>
      <c r="E13" s="74"/>
      <c r="F13" s="74"/>
      <c r="G13" s="74"/>
      <c r="H13" s="74"/>
      <c r="I13" s="74"/>
      <c r="J13" s="74"/>
      <c r="K13" s="74"/>
      <c r="L13" s="74"/>
      <c r="M13" s="74"/>
      <c r="N13" s="74"/>
      <c r="O13" s="74"/>
    </row>
    <row r="14" spans="2:15" x14ac:dyDescent="0.25">
      <c r="B14" s="74"/>
      <c r="C14" s="75"/>
      <c r="D14" s="74"/>
      <c r="E14" s="74"/>
      <c r="F14" s="74"/>
      <c r="G14" s="74"/>
      <c r="H14" s="74"/>
      <c r="I14" s="74"/>
      <c r="J14" s="74"/>
      <c r="K14" s="74"/>
      <c r="L14" s="74"/>
      <c r="M14" s="74"/>
      <c r="N14" s="74"/>
      <c r="O14" s="74"/>
    </row>
    <row r="15" spans="2:15" x14ac:dyDescent="0.25">
      <c r="B15" s="74"/>
      <c r="C15" s="75"/>
      <c r="D15" s="74"/>
      <c r="E15" s="74"/>
      <c r="F15" s="74"/>
      <c r="G15" s="74"/>
      <c r="H15" s="74"/>
      <c r="I15" s="74"/>
      <c r="J15" s="74"/>
      <c r="K15" s="74"/>
      <c r="L15" s="74"/>
      <c r="M15" s="74"/>
      <c r="N15" s="74"/>
      <c r="O15" s="74"/>
    </row>
    <row r="16" spans="2:15" x14ac:dyDescent="0.25">
      <c r="B16" s="74"/>
      <c r="C16" s="75"/>
      <c r="D16" s="74"/>
      <c r="E16" s="74"/>
      <c r="F16" s="74"/>
      <c r="G16" s="74"/>
      <c r="H16" s="74"/>
      <c r="I16" s="74"/>
      <c r="J16" s="74"/>
      <c r="K16" s="74"/>
      <c r="L16" s="74"/>
      <c r="M16" s="74"/>
      <c r="N16" s="74"/>
      <c r="O16" s="74"/>
    </row>
  </sheetData>
  <mergeCells count="1">
    <mergeCell ref="B4:O4"/>
  </mergeCells>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List of Tests</vt:lpstr>
      <vt:lpstr>TC01</vt:lpstr>
      <vt:lpstr>TC02</vt:lpstr>
      <vt:lpstr>TC03</vt:lpstr>
      <vt:lpstr>TC04</vt:lpstr>
      <vt:lpstr>TC05</vt:lpstr>
      <vt:lpstr>TC06</vt:lpstr>
      <vt:lpstr>TC07</vt:lpstr>
      <vt:lpstr>TC08</vt:lpstr>
      <vt:lpstr>Sheet1</vt:lpstr>
      <vt:lpstr>TC08 (2)</vt:lpstr>
      <vt:lpstr>Defects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
  <cp:lastPrinted>2012-05-16T21:03:32Z</cp:lastPrinted>
  <dcterms:created xsi:type="dcterms:W3CDTF">2012-05-07T10:39:44Z</dcterms:created>
  <dcterms:modified xsi:type="dcterms:W3CDTF">2019-01-30T10:44:33Z</dcterms:modified>
</cp:coreProperties>
</file>